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okka\Desktop\Thesis\Communication\"/>
    </mc:Choice>
  </mc:AlternateContent>
  <xr:revisionPtr revIDLastSave="0" documentId="13_ncr:1_{1907027D-EFCF-456E-B6D9-8B2143FA65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Sheet1!$M$4:$M$69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4" i="1"/>
  <c r="AB2" i="1" l="1" a="1"/>
  <c r="AB2" i="1" s="1"/>
  <c r="AC2" i="1" s="1"/>
  <c r="AC8" i="1" l="1"/>
  <c r="AC7" i="1"/>
  <c r="AC6" i="1"/>
  <c r="AC5" i="1"/>
  <c r="AC4" i="1"/>
  <c r="A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<sst xmlns="http://schemas.openxmlformats.org/spreadsheetml/2006/main" count="879" uniqueCount="675">
  <si>
    <t>Failure Mode Effects and Criticality Analysis (FMECA)</t>
  </si>
  <si>
    <t>Ident. Number</t>
  </si>
  <si>
    <t>Item/Block</t>
  </si>
  <si>
    <t>Function</t>
  </si>
  <si>
    <t>Failure Mode</t>
  </si>
  <si>
    <t>Failure Cause</t>
  </si>
  <si>
    <t>Mission Phase / Op. Mode</t>
  </si>
  <si>
    <t>Failure Effects (a. Local, b. End)</t>
  </si>
  <si>
    <t>Severity Classification</t>
  </si>
  <si>
    <t>Failure Detection Method</t>
  </si>
  <si>
    <t>Compensating Provisions</t>
  </si>
  <si>
    <t>Severity Number (SN)</t>
  </si>
  <si>
    <t>Probability Number (PN)</t>
  </si>
  <si>
    <t>Criticality Number (CN)</t>
  </si>
  <si>
    <t>Recommendations</t>
  </si>
  <si>
    <t>Remarks</t>
  </si>
  <si>
    <t>COMM-001</t>
  </si>
  <si>
    <t>UART/USB Link (Teensy-Jetson)</t>
  </si>
  <si>
    <t>Bidirectional telemetry and command</t>
  </si>
  <si>
    <t>Complete communication loss</t>
  </si>
  <si>
    <t>Cable disconnection, connector failure, EMI</t>
  </si>
  <si>
    <t>ALL MODES</t>
  </si>
  <si>
    <t>a. No telemetry, no commands b. Loss of control, rover immobilized</t>
  </si>
  <si>
    <t>Catastrophic</t>
  </si>
  <si>
    <t>Communication timeout, heartbeat loss</t>
  </si>
  <si>
    <t>Watchdog triggers ESTOP on both sides</t>
  </si>
  <si>
    <t>Redundant comm link, shielded cables, periodic heartbeat</t>
  </si>
  <si>
    <t>Critical for slip mitigation</t>
  </si>
  <si>
    <t>COMM-002</t>
  </si>
  <si>
    <t>UART/USB Link</t>
  </si>
  <si>
    <t>Intermittent packet loss</t>
  </si>
  <si>
    <t>Loose connection, EMI bursts, buffer overflow</t>
  </si>
  <si>
    <t>NOMINAL, DEGRADED</t>
  </si>
  <si>
    <t>a. Stale data, command dropout b. Jerky motion, incorrect slip estimation</t>
  </si>
  <si>
    <t>Critical</t>
  </si>
  <si>
    <t>Packet sequence number gaps, CRC failures</t>
  </si>
  <si>
    <t>Retransmit, use last valid data with timeout</t>
  </si>
  <si>
    <t>Implement CRC, sequence numbers, ack protocol</t>
  </si>
  <si>
    <t>Affects slip calc accuracy</t>
  </si>
  <si>
    <t>COMM-003</t>
  </si>
  <si>
    <t>Data corruption</t>
  </si>
  <si>
    <t>Bit flips, noise, baud rate mismatch</t>
  </si>
  <si>
    <t>a. Invalid sensor readings, wrong commands b. Erratic motor control, false slip detection</t>
  </si>
  <si>
    <t>Checksum/CRC mismatch, out-of-range values</t>
  </si>
  <si>
    <t>Discard corrupted packets, request retransmit</t>
  </si>
  <si>
    <t>CRC-16 or higher, data validation</t>
  </si>
  <si>
    <t>Can trigger false ESTOP</t>
  </si>
  <si>
    <t>COMM-004</t>
  </si>
  <si>
    <t>High latency (&gt;100ms)</t>
  </si>
  <si>
    <t>CPU overload, USB stack delays, OS scheduling</t>
  </si>
  <si>
    <t>NOMINAL</t>
  </si>
  <si>
    <t>a. Delayed feedback b. Control lag, poor slip response</t>
  </si>
  <si>
    <t>Marginal</t>
  </si>
  <si>
    <t>Timestamp comparison</t>
  </si>
  <si>
    <t>Increase control loop tolerance</t>
  </si>
  <si>
    <t>RTOS on Teensy, real-time kernel on Jetson</t>
  </si>
  <si>
    <t>Degrades slip mitigation</t>
  </si>
  <si>
    <t>COMM-005</t>
  </si>
  <si>
    <t>I2C Bus (Teensy-Current Sensors)</t>
  </si>
  <si>
    <t>Read 3x current values</t>
  </si>
  <si>
    <t>Bus lockup/hang</t>
  </si>
  <si>
    <t>Clock stretching failure, slave not releasing SDA</t>
  </si>
  <si>
    <t>a. Cannot read current b. No overcurrent detection, blind to motor stall</t>
  </si>
  <si>
    <t>I2C timeout, bus stuck low</t>
  </si>
  <si>
    <t>I2C bus reset, software recovery</t>
  </si>
  <si>
    <t>Implement I2C timeout, bus recovery routine</t>
  </si>
  <si>
    <t>Prevents stall detection</t>
  </si>
  <si>
    <t>COMM-006</t>
  </si>
  <si>
    <t>I2C Bus</t>
  </si>
  <si>
    <t>Address conflict</t>
  </si>
  <si>
    <t>Multiple sensors same address, PCB routing error</t>
  </si>
  <si>
    <t>INIT, ALL MODES</t>
  </si>
  <si>
    <t>a. Wrong sensor data read b. Incorrect current readings, false slip</t>
  </si>
  <si>
    <t>Inconsistent readings, device enumeration fail</t>
  </si>
  <si>
    <t>Verify addresses at boot</t>
  </si>
  <si>
    <t>Verify unique I2C addresses in hardware</t>
  </si>
  <si>
    <t>Design verification</t>
  </si>
  <si>
    <t>COMM-007</t>
  </si>
  <si>
    <t>Bit errors</t>
  </si>
  <si>
    <t>EMI, capacitance, long traces</t>
  </si>
  <si>
    <t>a. Corrupted current value b. False overcurrent or undercurrent</t>
  </si>
  <si>
    <t>Out-of-range values, checksum if available</t>
  </si>
  <si>
    <t>Discard outliers, median filter</t>
  </si>
  <si>
    <t>Short traces, pull-up optimization, shielding</t>
  </si>
  <si>
    <t>Slip calc uses current</t>
  </si>
  <si>
    <t>ENC-001</t>
  </si>
  <si>
    <t>Encoder (x3 per Teensy)</t>
  </si>
  <si>
    <t>Measure wheel position/velocity</t>
  </si>
  <si>
    <t>No signal (both channels)</t>
  </si>
  <si>
    <t>Encoder failure, cable break, power loss to encoder</t>
  </si>
  <si>
    <t>a. Zero velocity reading b. Wheel appears stopped, false slip detection</t>
  </si>
  <si>
    <t>Zero count change despite motor command</t>
  </si>
  <si>
    <t>Switch to model-based estimation, DEGRADED mode</t>
  </si>
  <si>
    <t>Redundant velocity estimation (current-based)</t>
  </si>
  <si>
    <t>Critical for slip</t>
  </si>
  <si>
    <t>ENC-002</t>
  </si>
  <si>
    <t>Encoder</t>
  </si>
  <si>
    <t>Single channel failure</t>
  </si>
  <si>
    <t>Partial encoder failure, A or B channel broken</t>
  </si>
  <si>
    <t>a. Loss of direction, reduced resolution b. Incorrect velocity, wrong slip calculation</t>
  </si>
  <si>
    <t>Only one edge detected, direction ambiguity</t>
  </si>
  <si>
    <t>Use single channel with last known direction</t>
  </si>
  <si>
    <t>Monitor both channels, flag single-channel mode</t>
  </si>
  <si>
    <t>Reduces slip accuracy</t>
  </si>
  <si>
    <t>ENC-003</t>
  </si>
  <si>
    <t>Missed counts (dropouts)</t>
  </si>
  <si>
    <t>Interrupt overload, ISR too slow, debounce issues</t>
  </si>
  <si>
    <t>NOMINAL, HIGH SPEED</t>
  </si>
  <si>
    <t>a. Undercounted position b. Lower velocity reading, false high slip</t>
  </si>
  <si>
    <t>Velocity discontinuities, acceleration limits</t>
  </si>
  <si>
    <t>Limit max velocity, optimize ISR</t>
  </si>
  <si>
    <t>Fast ISR, hardware quadrature decoder, DMA</t>
  </si>
  <si>
    <t>Directly affects slip calc</t>
  </si>
  <si>
    <t>ENC-004</t>
  </si>
  <si>
    <t>False counts (noise)</t>
  </si>
  <si>
    <t>EMI from motor PWM, poor shielding, bouncing</t>
  </si>
  <si>
    <t>a. Overcounted position b. Higher velocity, false low slip</t>
  </si>
  <si>
    <t>Unrealistic acceleration, velocity spikes</t>
  </si>
  <si>
    <t>Digital filtering, debounce</t>
  </si>
  <si>
    <t>Shielded encoder cables, RC filtering, twisted pairs</t>
  </si>
  <si>
    <t>Common in PWM environment</t>
  </si>
  <si>
    <t>ENC-005</t>
  </si>
  <si>
    <t>Phase shift/jitter</t>
  </si>
  <si>
    <t>Mechanical misalignment, bearing wear, vibration</t>
  </si>
  <si>
    <t>a. Noisy velocity signal b. Jittery velocity, unstable slip estimate</t>
  </si>
  <si>
    <t>High velocity variance, FFT analysis</t>
  </si>
  <si>
    <t>Low-pass filter, mechanical inspection</t>
  </si>
  <si>
    <t>Proper encoder mounting, damping</t>
  </si>
  <si>
    <t>Testbed vibration</t>
  </si>
  <si>
    <t>ENC-006</t>
  </si>
  <si>
    <t>Mechanical decoupling</t>
  </si>
  <si>
    <t>Loose set screw, shaft slip, broken coupling</t>
  </si>
  <si>
    <t>a. Encoder stops, wheel continues b. Zero velocity with motor running, max slip indication</t>
  </si>
  <si>
    <t>Velocity drops to zero with current draw</t>
  </si>
  <si>
    <t>Immediate ESTOP, mechanical inspection</t>
  </si>
  <si>
    <t>Loctite on set screws, periodic inspection</t>
  </si>
  <si>
    <t>Catastrophic for slip</t>
  </si>
  <si>
    <t>CS-001</t>
  </si>
  <si>
    <t>Current Sensor (x3 per Teensy)</t>
  </si>
  <si>
    <t>Measure motor current</t>
  </si>
  <si>
    <t>No output / open circuit</t>
  </si>
  <si>
    <t>Sensor failure, trace break, solder joint failure</t>
  </si>
  <si>
    <t>a. Zero or max reading b. No load monitoring, cannot detect stall/slip via current</t>
  </si>
  <si>
    <t>Constant zero or rail value</t>
  </si>
  <si>
    <t>Use voltage-based estimation, DEGRADED mode</t>
  </si>
  <si>
    <t>Periodic sensor validation, redundant sensing</t>
  </si>
  <si>
    <t>Stall = high slip</t>
  </si>
  <si>
    <t>CS-002</t>
  </si>
  <si>
    <t>Current Sensor</t>
  </si>
  <si>
    <t>Offset drift</t>
  </si>
  <si>
    <t>Temperature, aging, component tolerance</t>
  </si>
  <si>
    <t>NOMINAL, EXTENDED OPS</t>
  </si>
  <si>
    <t>a. Constant bias in reading b. Incorrect load estimation, slip calc error</t>
  </si>
  <si>
    <t>Baseline shift when motor off</t>
  </si>
  <si>
    <t>Auto-zero calibration at IDLE</t>
  </si>
  <si>
    <t>Auto-calibration routine, temp compensation</t>
  </si>
  <si>
    <t>Lunar temp extremes</t>
  </si>
  <si>
    <t>CS-003</t>
  </si>
  <si>
    <t>Gain error</t>
  </si>
  <si>
    <t>Wrong amplifier gain, reference voltage drift</t>
  </si>
  <si>
    <t>a. Scaled current reading b. Proportional error in load, slip estimation</t>
  </si>
  <si>
    <t>Cross-check with expected current model</t>
  </si>
  <si>
    <t>Calibration with known loads</t>
  </si>
  <si>
    <t>Factory calibration, validation test</t>
  </si>
  <si>
    <t>Systematic error</t>
  </si>
  <si>
    <t>CS-004</t>
  </si>
  <si>
    <t>Noise/spikes</t>
  </si>
  <si>
    <t>PWM switching noise, inadequate filtering</t>
  </si>
  <si>
    <t>a. Noisy current signal b. Unstable control, false transient detection</t>
  </si>
  <si>
    <t>High frequency content in signal</t>
  </si>
  <si>
    <t>Hardware RC filter, software median filter</t>
  </si>
  <si>
    <t>PCB layout optimization, filtering capacitors</t>
  </si>
  <si>
    <t>High PN due to PWM</t>
  </si>
  <si>
    <t>CS-005</t>
  </si>
  <si>
    <t>Saturation</t>
  </si>
  <si>
    <t>Overcurrent beyond sensor range</t>
  </si>
  <si>
    <t>NOMINAL (HIGH LOAD)</t>
  </si>
  <si>
    <t>a. Clipped reading b. Cannot detect true overcurrent, missed stall</t>
  </si>
  <si>
    <t>Reading stuck at max</t>
  </si>
  <si>
    <t>Hardware overcurrent protection on driver</t>
  </si>
  <si>
    <t>Select sensor with adequate range, hardware protection</t>
  </si>
  <si>
    <t>Stall during slip</t>
  </si>
  <si>
    <t>CS-006</t>
  </si>
  <si>
    <t>I2C communication failure (if digital sensor)</t>
  </si>
  <si>
    <t>Address error, bus issue, sensor hang</t>
  </si>
  <si>
    <t>a. Stale/no current data b. Blind to motor load changes</t>
  </si>
  <si>
    <t>I2C read timeout, NACK</t>
  </si>
  <si>
    <t>I2C recovery, sensor reset</t>
  </si>
  <si>
    <t>See COMM-005 mitigations</t>
  </si>
  <si>
    <t>If using digital sensors</t>
  </si>
  <si>
    <t>MD-001</t>
  </si>
  <si>
    <t>Motor Driver (x3 per Teensy)</t>
  </si>
  <si>
    <t>Convert PWM to motor power</t>
  </si>
  <si>
    <t>No output</t>
  </si>
  <si>
    <t>Driver failure, thermal shutdown, enable pin issue</t>
  </si>
  <si>
    <t>a. Motor stops b. Wheel immobilized, mission abort</t>
  </si>
  <si>
    <t>Zero current with PWM command</t>
  </si>
  <si>
    <t>Switch to SAFE mode, diagnose other side</t>
  </si>
  <si>
    <t>Thermal monitoring, enable line verification</t>
  </si>
  <si>
    <t>Single wheel critical</t>
  </si>
  <si>
    <t>MD-002</t>
  </si>
  <si>
    <t>Motor Driver</t>
  </si>
  <si>
    <t>Stuck ON</t>
  </si>
  <si>
    <t>MOSFET short, driver IC failure</t>
  </si>
  <si>
    <t>a. Motor runs uncontrolled b. Runaway wheel, potential damage, loss of control</t>
  </si>
  <si>
    <t>Current without PWM command, velocity mismatch</t>
  </si>
  <si>
    <t>Hardware ESTOP, cut power via relay if available</t>
  </si>
  <si>
    <t>Hardware watchdog, independent ESTOP circuit</t>
  </si>
  <si>
    <t>Highest priority</t>
  </si>
  <si>
    <t>MD-003</t>
  </si>
  <si>
    <t>Reduced output / degraded</t>
  </si>
  <si>
    <t>Partial MOSFET failure, overheating, voltage drop</t>
  </si>
  <si>
    <t>a. Lower motor power b. Reduced max velocity, asymmetric drive</t>
  </si>
  <si>
    <t>Lower velocity than commanded, higher current</t>
  </si>
  <si>
    <t>Reduce speed command, thermal monitoring</t>
  </si>
  <si>
    <t>Thermal sensors on drivers, derating</t>
  </si>
  <si>
    <t>Gradual degradation</t>
  </si>
  <si>
    <t>MD-004</t>
  </si>
  <si>
    <t>PWM signal not received</t>
  </si>
  <si>
    <t>Broken trace, MCU pin failure, PCB fault</t>
  </si>
  <si>
    <t>a. No motor control b. Wheel dead, mission abort if critical wheel</t>
  </si>
  <si>
    <t>Zero velocity, zero current</t>
  </si>
  <si>
    <t>Diagnose, switch to SAFE</t>
  </si>
  <si>
    <t>PWM signal integrity test at INIT</t>
  </si>
  <si>
    <t>PCB quality critical</t>
  </si>
  <si>
    <t>MD-005</t>
  </si>
  <si>
    <t>Direction control failure</t>
  </si>
  <si>
    <t>H-bridge fault, direction pin stuck</t>
  </si>
  <si>
    <t>a. Wrong direction or brake b. Wheel fights command, high slip</t>
  </si>
  <si>
    <t>Velocity opposite to command, high current</t>
  </si>
  <si>
    <t>ESTOP, SAFE mode</t>
  </si>
  <si>
    <t>Direction feedback verification</t>
  </si>
  <si>
    <t>Dangerous</t>
  </si>
  <si>
    <t>SERVO-001</t>
  </si>
  <si>
    <t>Servo (x3 per Teensy)</t>
  </si>
  <si>
    <t>Steering/articulation control</t>
  </si>
  <si>
    <t>No response</t>
  </si>
  <si>
    <t>Servo failure, power loss (7.5V buck), signal issue</t>
  </si>
  <si>
    <t>a. Fixed steering angle b. Cannot adjust for slip, directional control loss</t>
  </si>
  <si>
    <t>Angle feedback unchanged with command</t>
  </si>
  <si>
    <t>Lock to safe angle, reduce speed</t>
  </si>
  <si>
    <t>Angle feedback verification, power monitoring</t>
  </si>
  <si>
    <t>Slip mitigation needs steering</t>
  </si>
  <si>
    <t>SERVO-002</t>
  </si>
  <si>
    <t>Servo</t>
  </si>
  <si>
    <t>Jittering/oscillation</t>
  </si>
  <si>
    <t>Noisy control signal, servo instability, mechanical binding</t>
  </si>
  <si>
    <t>a. Unstable angle b. Vibration, poor traction, increased slip</t>
  </si>
  <si>
    <t>High frequency angle changes, current spikes</t>
  </si>
  <si>
    <t>Filter command, reduce gain</t>
  </si>
  <si>
    <t>Clean PWM signal, mechanical inspection</t>
  </si>
  <si>
    <t>SERVO-003</t>
  </si>
  <si>
    <t>Slow response</t>
  </si>
  <si>
    <t>Servo overload, low voltage, mechanical resistance</t>
  </si>
  <si>
    <t>a. Delayed angle change b. Sluggish slip response, control lag</t>
  </si>
  <si>
    <t>Angle lags command significantly</t>
  </si>
  <si>
    <t>Reduce command rate, check load</t>
  </si>
  <si>
    <t>Verify servo sizing, power supply adequacy</t>
  </si>
  <si>
    <t>Lunar regolith resistance</t>
  </si>
  <si>
    <t>SERVO-004</t>
  </si>
  <si>
    <t>Angle feedback error</t>
  </si>
  <si>
    <t>Potentiometer wear, ADC noise, calibration drift</t>
  </si>
  <si>
    <t>a. Wrong angle reading b. Incorrect steering, poor slip compensation</t>
  </si>
  <si>
    <t>Angle mismatch with expected, cross-check with other sensors</t>
  </si>
  <si>
    <t>Recalibration routine</t>
  </si>
  <si>
    <t>Periodic calibration, analog filtering</t>
  </si>
  <si>
    <t>Analog signal vulnerable</t>
  </si>
  <si>
    <t>SERVO-005</t>
  </si>
  <si>
    <t>Mechanical jam</t>
  </si>
  <si>
    <t>Foreign object, gear failure, bearing seizure</t>
  </si>
  <si>
    <t>a. Servo stalled, high current b. Fixed angle, loss of steering control</t>
  </si>
  <si>
    <t>High servo current, no angle change</t>
  </si>
  <si>
    <t>ESTOP, clear obstruction</t>
  </si>
  <si>
    <t>Mechanical protection, current monitoring</t>
  </si>
  <si>
    <t>Testbed debris</t>
  </si>
  <si>
    <t>MOTOR-001</t>
  </si>
  <si>
    <t>DC Motor (x3 per Teensy)</t>
  </si>
  <si>
    <t>Drive wheels</t>
  </si>
  <si>
    <t>Winding open circuit</t>
  </si>
  <si>
    <t>Brush wear, winding failure, connection break</t>
  </si>
  <si>
    <t>a. No rotation b. Wheel dead, asymmetric drive, high slip on other wheels</t>
  </si>
  <si>
    <t>Zero velocity with current command, no current draw</t>
  </si>
  <si>
    <t>Compensate with other wheels, DEGRADED mode</t>
  </si>
  <si>
    <t>Brush inspection, connection integrity</t>
  </si>
  <si>
    <t>Wear item</t>
  </si>
  <si>
    <t>MOTOR-002</t>
  </si>
  <si>
    <t>DC Motor</t>
  </si>
  <si>
    <t>Winding short circuit</t>
  </si>
  <si>
    <t>Insulation failure, overheating</t>
  </si>
  <si>
    <t>a. High current, low torque b. Overcurrent trip, wheel ineffective</t>
  </si>
  <si>
    <t>Very high current, low velocity</t>
  </si>
  <si>
    <t>Current limit, thermal shutdown</t>
  </si>
  <si>
    <t>Thermal protection, current limiting</t>
  </si>
  <si>
    <t>Overheat in stall</t>
  </si>
  <si>
    <t>MOTOR-003</t>
  </si>
  <si>
    <t>Bearing seizure</t>
  </si>
  <si>
    <t>Contamination, wear, lack of lubrication</t>
  </si>
  <si>
    <t>a. Motor stalls b. Wheel locked, high slip, potential damage</t>
  </si>
  <si>
    <t>High current, zero velocity</t>
  </si>
  <si>
    <t>ESTOP, mechanical inspection</t>
  </si>
  <si>
    <t>Sealed bearings, periodic maintenance</t>
  </si>
  <si>
    <t>Lunar dust</t>
  </si>
  <si>
    <t>MOTOR-004</t>
  </si>
  <si>
    <t>Reduced efficiency</t>
  </si>
  <si>
    <t>Brush wear, bearing friction, magnet degradation</t>
  </si>
  <si>
    <t>a. Higher current for same speed b. Reduced performance, thermal issues</t>
  </si>
  <si>
    <t>Current increase over time for same velocity</t>
  </si>
  <si>
    <t>Adjust control parameters, plan maintenance</t>
  </si>
  <si>
    <t>Performance monitoring, predictive maintenance</t>
  </si>
  <si>
    <t>MOTOR-005</t>
  </si>
  <si>
    <t>Mechanical decoupling from wheel</t>
  </si>
  <si>
    <t>Gearbox failure, shaft break, coupling failure</t>
  </si>
  <si>
    <t>a. Motor spins, wheel doesn't b. Zero traction, max slip, mission abort</t>
  </si>
  <si>
    <t>High velocity reading (encoder on motor side) with no rover motion</t>
  </si>
  <si>
    <t>Immediate ESTOP</t>
  </si>
  <si>
    <t>Robust mechanical design, periodic inspection</t>
  </si>
  <si>
    <t>Catastrophic failure</t>
  </si>
  <si>
    <t>MCU-001</t>
  </si>
  <si>
    <t>Teensy MCU</t>
  </si>
  <si>
    <t>Control loop, sensor interface, communication</t>
  </si>
  <si>
    <t>Complete failure</t>
  </si>
  <si>
    <t>Power loss, firmware crash, hardware failure</t>
  </si>
  <si>
    <t>a. No control, no telemetry b. Half rover dead (3 wheels), mission abort</t>
  </si>
  <si>
    <t>No heartbeat, no telemetry</t>
  </si>
  <si>
    <t>Jetson detects timeout, ESTOP, use other Teensy if possible</t>
  </si>
  <si>
    <t>Watchdog timer, redundant Teensy, robust power</t>
  </si>
  <si>
    <t>Critical single point</t>
  </si>
  <si>
    <t>MCU-002</t>
  </si>
  <si>
    <t>Control loop execution</t>
  </si>
  <si>
    <t>Firmware hang/deadlock</t>
  </si>
  <si>
    <t>Software bug, infinite loop, resource contention</t>
  </si>
  <si>
    <t>a. Control stops b. Motors continue last command until watchdog</t>
  </si>
  <si>
    <t>Telemetry stops, heartbeat loss</t>
  </si>
  <si>
    <t>Watchdog reset, ESTOP</t>
  </si>
  <si>
    <t>Watchdog timer, defensive programming, testing</t>
  </si>
  <si>
    <t>Software quality critical</t>
  </si>
  <si>
    <t>MCU-003</t>
  </si>
  <si>
    <t>Interrupt handling</t>
  </si>
  <si>
    <t>Interrupt overload</t>
  </si>
  <si>
    <t>Too many encoder edges, high PWM frequency</t>
  </si>
  <si>
    <t>NOMINAL (HIGH SPEED)</t>
  </si>
  <si>
    <t>a. Missed interrupts, slow response b. Inaccurate encoder counts, control lag</t>
  </si>
  <si>
    <t>Increased loop time, missed counts</t>
  </si>
  <si>
    <t>Reduce interrupt frequency, optimize ISR</t>
  </si>
  <si>
    <t>Hardware quadrature decoder, DMA, profiling</t>
  </si>
  <si>
    <t>High speed issue</t>
  </si>
  <si>
    <t>MCU-004</t>
  </si>
  <si>
    <t>ADC conversion (servo feedback)</t>
  </si>
  <si>
    <t>ADC failure</t>
  </si>
  <si>
    <t>Hardware fault, reference voltage issue</t>
  </si>
  <si>
    <t>a. Invalid servo angle readings b. Incorrect steering control</t>
  </si>
  <si>
    <t>Constant or erratic ADC values</t>
  </si>
  <si>
    <t>Use commanded angle (open loop), DEGRADED</t>
  </si>
  <si>
    <t>ADC self-test at INIT, reference monitoring</t>
  </si>
  <si>
    <t>Servo feedback lost</t>
  </si>
  <si>
    <t>MCU-005</t>
  </si>
  <si>
    <t>PWM generation</t>
  </si>
  <si>
    <t>PWM output failure</t>
  </si>
  <si>
    <t>Timer failure, pin configuration error</t>
  </si>
  <si>
    <t>a. No motor control b. Wheels dead, mission abort</t>
  </si>
  <si>
    <t>No motor response, zero current</t>
  </si>
  <si>
    <t>SAFE mode, diagnose</t>
  </si>
  <si>
    <t>PWM self-test at INIT, redundant timers</t>
  </si>
  <si>
    <t>Critical function</t>
  </si>
  <si>
    <t>MCU-006</t>
  </si>
  <si>
    <t>Memory corruption</t>
  </si>
  <si>
    <t>Bit flip (radiation), buffer overflow, wild pointer</t>
  </si>
  <si>
    <t>a. Unpredictable behavior b. Erratic control, potential damage</t>
  </si>
  <si>
    <t>Checksum failure, invalid values, watchdog</t>
  </si>
  <si>
    <t>Memory protection, ECC if available, watchdog</t>
  </si>
  <si>
    <t>Code review, static analysis, memory bounds checking</t>
  </si>
  <si>
    <t>Radiation in space</t>
  </si>
  <si>
    <t>CTRL-001</t>
  </si>
  <si>
    <t>PI Controller</t>
  </si>
  <si>
    <t>Motor velocity control</t>
  </si>
  <si>
    <t>Integral windup</t>
  </si>
  <si>
    <t>Sustained error, saturation, long startup</t>
  </si>
  <si>
    <t>INIT, NOMINAL</t>
  </si>
  <si>
    <t>a. Overshoot, oscillation b. Unstable motion, poor slip control</t>
  </si>
  <si>
    <t>Large overshoot, oscillation in velocity</t>
  </si>
  <si>
    <t>Anti-windup, integrator clamping</t>
  </si>
  <si>
    <t>Implement anti-windup, conditional integration</t>
  </si>
  <si>
    <t>Common PI issue</t>
  </si>
  <si>
    <t>CTRL-002</t>
  </si>
  <si>
    <t>Tuning instability</t>
  </si>
  <si>
    <t>Wrong gains, load changes, surface variation</t>
  </si>
  <si>
    <t>a. Oscillation or sluggish response b. Poor velocity tracking, inaccurate slip</t>
  </si>
  <si>
    <t>Velocity oscillation, steady-state error</t>
  </si>
  <si>
    <t>Adaptive tuning, gain scheduling</t>
  </si>
  <si>
    <t>Systematic tuning procedure, field testing</t>
  </si>
  <si>
    <t>Lunar surface variation</t>
  </si>
  <si>
    <t>CTRL-003</t>
  </si>
  <si>
    <t>Feedforward mismatch</t>
  </si>
  <si>
    <t>Incorrect model, load estimation error</t>
  </si>
  <si>
    <t>a. Tracking error b. Velocity lag, slip calculation error</t>
  </si>
  <si>
    <t>Persistent tracking error</t>
  </si>
  <si>
    <t>Update feedforward model</t>
  </si>
  <si>
    <t>Model identification, online adaptation</t>
  </si>
  <si>
    <t>Model-based component</t>
  </si>
  <si>
    <t>CTRL-004</t>
  </si>
  <si>
    <t>Low-Pass Filter</t>
  </si>
  <si>
    <t>Velocity filtering</t>
  </si>
  <si>
    <t>Cutoff too low</t>
  </si>
  <si>
    <t>Conservative design, wrong parameter</t>
  </si>
  <si>
    <t>a. Excessive phase lag b. Delayed slip detection, slow response</t>
  </si>
  <si>
    <t>Lagging velocity signal</t>
  </si>
  <si>
    <t>Increase cutoff frequency</t>
  </si>
  <si>
    <t>Filter design analysis, frequency response testing</t>
  </si>
  <si>
    <t>Trade-off: noise vs lag</t>
  </si>
  <si>
    <t>CTRL-005</t>
  </si>
  <si>
    <t>Cutoff too high</t>
  </si>
  <si>
    <t>Aggressive design, wrong parameter</t>
  </si>
  <si>
    <t>a. Noisy velocity signal b. Noisy slip estimate, false alarms</t>
  </si>
  <si>
    <t>High frequency noise in output</t>
  </si>
  <si>
    <t>Decrease cutoff frequency</t>
  </si>
  <si>
    <t>Filter design analysis, noise characterization</t>
  </si>
  <si>
    <t>CTRL-006</t>
  </si>
  <si>
    <t>Control Loop</t>
  </si>
  <si>
    <t>Overall velocity control</t>
  </si>
  <si>
    <t>Loop timing jitter</t>
  </si>
  <si>
    <t>OS scheduling, interrupt latency, CPU load</t>
  </si>
  <si>
    <t>a. Inconsistent control update b. Degraded performance, instability</t>
  </si>
  <si>
    <t>Variable loop period</t>
  </si>
  <si>
    <t>RTOS, priority management</t>
  </si>
  <si>
    <t>Real-time OS, dedicated core, profiling</t>
  </si>
  <si>
    <t>Jetson timing</t>
  </si>
  <si>
    <t>PCB-001</t>
  </si>
  <si>
    <t>PCB Interconnects</t>
  </si>
  <si>
    <t>Electrical connections</t>
  </si>
  <si>
    <t>Solder joint failure</t>
  </si>
  <si>
    <t>Thermal cycling, vibration, poor soldering</t>
  </si>
  <si>
    <t>a. Intermittent connection b. Erratic behavior, intermittent failures</t>
  </si>
  <si>
    <t>Intermittent sensor readings, random resets</t>
  </si>
  <si>
    <t>Conformal coating, robust soldering</t>
  </si>
  <si>
    <t>IPC standards, inspection, conformal coating</t>
  </si>
  <si>
    <t>Vibration in testbed</t>
  </si>
  <si>
    <t>PCB-002</t>
  </si>
  <si>
    <t>PCB Traces</t>
  </si>
  <si>
    <t>Signal routing</t>
  </si>
  <si>
    <t>Trace break</t>
  </si>
  <si>
    <t>Mechanical stress, manufacturing defect</t>
  </si>
  <si>
    <t>a. Open circuit b. Component non-functional</t>
  </si>
  <si>
    <t>Component failure symptoms</t>
  </si>
  <si>
    <t>Redundant traces if critical</t>
  </si>
  <si>
    <t>Proper PCB design, stress relief, inspection</t>
  </si>
  <si>
    <t>Manufacturing quality</t>
  </si>
  <si>
    <t>PCB-003</t>
  </si>
  <si>
    <t>PCB</t>
  </si>
  <si>
    <t>Ground plane</t>
  </si>
  <si>
    <t>Ground loop / poor grounding</t>
  </si>
  <si>
    <t>Layout error, multiple ground points</t>
  </si>
  <si>
    <t>a. Noise injection b. Sensor noise, communication errors</t>
  </si>
  <si>
    <t>Unexplained noise, EMI issues</t>
  </si>
  <si>
    <t>Star grounding, ground plane optimization</t>
  </si>
  <si>
    <t>Proper PCB layout, ground plane design</t>
  </si>
  <si>
    <t>Common EMI issue</t>
  </si>
  <si>
    <t>PCB-004</t>
  </si>
  <si>
    <t>Power distribution</t>
  </si>
  <si>
    <t>Voltage drop</t>
  </si>
  <si>
    <t>Thin traces, high current, long traces</t>
  </si>
  <si>
    <t>a. Reduced voltage at component b. Component malfunction, brownout</t>
  </si>
  <si>
    <t>Voltage monitoring, brownout detection</t>
  </si>
  <si>
    <t>Wider traces, separate power planes</t>
  </si>
  <si>
    <t>Power integrity analysis, adequate trace width</t>
  </si>
  <si>
    <t>High current paths</t>
  </si>
  <si>
    <t>PCB-005</t>
  </si>
  <si>
    <t>PCB Connectors</t>
  </si>
  <si>
    <t>Mechanical/electrical interface</t>
  </si>
  <si>
    <t>Connector loosening</t>
  </si>
  <si>
    <t>Vibration, thermal cycling, poor retention</t>
  </si>
  <si>
    <t>a. Intermittent connection b. Random failures, intermittent behavior</t>
  </si>
  <si>
    <t>Intermittent failures correlated with motion</t>
  </si>
  <si>
    <t>Locking connectors, strain relief, adhesive</t>
  </si>
  <si>
    <t>Locking connectors, periodic inspection</t>
  </si>
  <si>
    <t>High vibration</t>
  </si>
  <si>
    <t>PCB-006</t>
  </si>
  <si>
    <t>ESD protection</t>
  </si>
  <si>
    <t>ESD damage</t>
  </si>
  <si>
    <t>Handling, dry environment, no protection</t>
  </si>
  <si>
    <t>INIT, DIAGNOSTIC</t>
  </si>
  <si>
    <t>a. Component damage b. Permanent failure</t>
  </si>
  <si>
    <t>Component failure after handling</t>
  </si>
  <si>
    <t>ESD protection devices, handling procedures</t>
  </si>
  <si>
    <t>ESD protection, handling protocols</t>
  </si>
  <si>
    <t>Preventive</t>
  </si>
  <si>
    <t>ALGO-001</t>
  </si>
  <si>
    <t>Slip Estimation Algorithm</t>
  </si>
  <si>
    <t>Calculate wheel slip</t>
  </si>
  <si>
    <t>Incorrect slip calculation</t>
  </si>
  <si>
    <t>Wrong formula, sensor fusion error, calibration</t>
  </si>
  <si>
    <t>a. Wrong slip value b. Ineffective slip mitigation, false alarms</t>
  </si>
  <si>
    <t>Slip value doesn't match observed behavior</t>
  </si>
  <si>
    <t>Algorithm validation, ground truth comparison</t>
  </si>
  <si>
    <t>Extensive testing, validation with known conditions</t>
  </si>
  <si>
    <t>Core mission function</t>
  </si>
  <si>
    <t>ALGO-002</t>
  </si>
  <si>
    <t>Division by zero</t>
  </si>
  <si>
    <t>Zero velocity reference, edge case</t>
  </si>
  <si>
    <t>NOMINAL (LOW SPEED)</t>
  </si>
  <si>
    <t>a. NaN or infinite slip b. Algorithm crash, control failure</t>
  </si>
  <si>
    <t>Math exception, invalid values</t>
  </si>
  <si>
    <t>Bounds checking, minimum threshold</t>
  </si>
  <si>
    <t>Defensive programming, edge case testing</t>
  </si>
  <si>
    <t>Low speed vulnerability</t>
  </si>
  <si>
    <t>ALGO-003</t>
  </si>
  <si>
    <t>Slip Mitigation Strategy</t>
  </si>
  <si>
    <t>Adjust control for slip</t>
  </si>
  <si>
    <t>Ineffective response</t>
  </si>
  <si>
    <t>Wrong strategy, insufficient authority, delay</t>
  </si>
  <si>
    <t>a. Slip continues b. Mission inefficiency, potential immobilization</t>
  </si>
  <si>
    <t>Persistent high slip despite mitigation</t>
  </si>
  <si>
    <t>Strategy refinement, increased authority</t>
  </si>
  <si>
    <t>Field testing, strategy optimization</t>
  </si>
  <si>
    <t>Algorithm effectiveness</t>
  </si>
  <si>
    <t>ALGO-004</t>
  </si>
  <si>
    <t>Overcorrection</t>
  </si>
  <si>
    <t>Too aggressive, wrong gains</t>
  </si>
  <si>
    <t>a. Oscillation, instability b. Jerky motion, increased slip</t>
  </si>
  <si>
    <t>Hunting behavior, oscillation</t>
  </si>
  <si>
    <t>Reduce gains, add damping</t>
  </si>
  <si>
    <t>Tuning, stability analysis</t>
  </si>
  <si>
    <t>Stability issue</t>
  </si>
  <si>
    <t>SYS-001</t>
  </si>
  <si>
    <t>Left-Right Symmetry</t>
  </si>
  <si>
    <t>Independent 3-wheel control</t>
  </si>
  <si>
    <t>Asymmetric failure</t>
  </si>
  <si>
    <t>One Teensy fails, one side degraded</t>
  </si>
  <si>
    <t>a. One side functional, other not b. Rover turns, cannot go straight</t>
  </si>
  <si>
    <t>Telemetry from only one Teensy</t>
  </si>
  <si>
    <t>Jetson compensates with differential control if possible</t>
  </si>
  <si>
    <t>Redundancy strategy, cross-side compensation</t>
  </si>
  <si>
    <t>System-level</t>
  </si>
  <si>
    <t>SYS-002</t>
  </si>
  <si>
    <t>Jetson</t>
  </si>
  <si>
    <t>High-level control, telemetry processing</t>
  </si>
  <si>
    <t>Jetson crash/hang</t>
  </si>
  <si>
    <t>Software bug, OS issue, resource exhaustion</t>
  </si>
  <si>
    <t>a. No high-level control b. Teensys continue last command until timeout, then ESTOP</t>
  </si>
  <si>
    <t>No commands from Jetson, external monitoring</t>
  </si>
  <si>
    <t>Teensy watchdog triggers ESTOP</t>
  </si>
  <si>
    <t>Jetson watchdog, robust software, monitoring</t>
  </si>
  <si>
    <t>SYS-003</t>
  </si>
  <si>
    <t>Command generation</t>
  </si>
  <si>
    <t>Incorrect commands</t>
  </si>
  <si>
    <t>Software bug, sensor fusion error</t>
  </si>
  <si>
    <t>a. Wrong motor/servo commands b. Erratic motion, potential damage</t>
  </si>
  <si>
    <t>Unexpected rover behavior, safety bounds violation</t>
  </si>
  <si>
    <t>Sanity checks on Teensy, rate limiting</t>
  </si>
  <si>
    <t>Software validation, bounds checking on both sides</t>
  </si>
  <si>
    <t>Software quality</t>
  </si>
  <si>
    <t>SYS-004</t>
  </si>
  <si>
    <t>Overall System</t>
  </si>
  <si>
    <t>Slip estimation and mitigation</t>
  </si>
  <si>
    <t>Sensor data synchronization error</t>
  </si>
  <si>
    <t>Different sample rates, timing jitter, latency</t>
  </si>
  <si>
    <t>a. Misaligned sensor data b. Incorrect slip calculation, phase errors</t>
  </si>
  <si>
    <t>Timestamp analysis, correlation issues</t>
  </si>
  <si>
    <t>Timestamp all data, synchronization protocol</t>
  </si>
  <si>
    <t>Time synchronization, consistent sampling</t>
  </si>
  <si>
    <t>Multi-sensor fusion</t>
  </si>
  <si>
    <t>SYS-005</t>
  </si>
  <si>
    <t>State machine transitions</t>
  </si>
  <si>
    <t>Incorrect mode transition</t>
  </si>
  <si>
    <t>Logic error, race condition, unexpected event</t>
  </si>
  <si>
    <t>a. Stuck in wrong mode b. Inappropriate behavior for situation</t>
  </si>
  <si>
    <t>Mode doesn't match expected, telemetry monitoring</t>
  </si>
  <si>
    <t>Watchdog, manual override</t>
  </si>
  <si>
    <t>State machine validation, formal verification</t>
  </si>
  <si>
    <t>Safety-critical</t>
  </si>
  <si>
    <t>SYS-006</t>
  </si>
  <si>
    <t>Emergency stop</t>
  </si>
  <si>
    <t>ESTOP not triggered when needed</t>
  </si>
  <si>
    <t>Detection failure, logic error, hardware fault</t>
  </si>
  <si>
    <t>a. Unsafe condition continues b. Potential damage, mission failure</t>
  </si>
  <si>
    <t>External observation, post-incident analysis</t>
  </si>
  <si>
    <t>Multiple ESTOP triggers, hardware watchdog</t>
  </si>
  <si>
    <t>Redundant ESTOP paths, independent hardware watchdog</t>
  </si>
  <si>
    <t>SYS-007</t>
  </si>
  <si>
    <t>False ESTOP trigger</t>
  </si>
  <si>
    <t>Sensor noise, wrong threshold, software bug</t>
  </si>
  <si>
    <t>a. Unnecessary stop b. Mission interruption, efficiency loss</t>
  </si>
  <si>
    <t>Frequent ESTOP without real hazard</t>
  </si>
  <si>
    <t>Adjust thresholds, debouncing</t>
  </si>
  <si>
    <t>Threshold tuning, false alarm analysis</t>
  </si>
  <si>
    <t>Nuisance vs safety</t>
  </si>
  <si>
    <t>ENV-001</t>
  </si>
  <si>
    <t>All Sensors/Components</t>
  </si>
  <si>
    <t>Normal operation</t>
  </si>
  <si>
    <t>Lunar dust contamination</t>
  </si>
  <si>
    <t>Fine regolith particles, testbed simulation</t>
  </si>
  <si>
    <t>NOMINAL (EXTENDED)</t>
  </si>
  <si>
    <t>a. Encoder fouling, connector issues b. Degraded performance, failures</t>
  </si>
  <si>
    <t>Performance degradation over time</t>
  </si>
  <si>
    <t>Sealed components, periodic cleaning</t>
  </si>
  <si>
    <t>Dust mitigation, sealed enclosures</t>
  </si>
  <si>
    <t>Testbed simulation</t>
  </si>
  <si>
    <t>ENV-002</t>
  </si>
  <si>
    <t>All Components</t>
  </si>
  <si>
    <t>Temperature extremes</t>
  </si>
  <si>
    <t>Testbed thermal cycling simulation</t>
  </si>
  <si>
    <t>a. Component out of spec b. Failures, performance degradation</t>
  </si>
  <si>
    <t>Temperature monitoring, component behavior</t>
  </si>
  <si>
    <t>Thermal management, component selection</t>
  </si>
  <si>
    <t>Temperature sensors, thermal design</t>
  </si>
  <si>
    <t>Lunar environment</t>
  </si>
  <si>
    <t>ENV-003</t>
  </si>
  <si>
    <t>All Electrical</t>
  </si>
  <si>
    <t>Vibration</t>
  </si>
  <si>
    <t>Testbed motion, mechanical coupling</t>
  </si>
  <si>
    <t>a. Connector loosening, solder fatigue b. Intermittent failures</t>
  </si>
  <si>
    <t>Intermittent issues during motion</t>
  </si>
  <si>
    <t>Vibration damping, robust connections</t>
  </si>
  <si>
    <t>Vibration isolation, robust design</t>
  </si>
  <si>
    <t>Testbed characteristic</t>
  </si>
  <si>
    <t>Severity Classification Legend</t>
  </si>
  <si>
    <t>Loss of control, potential damage, mission abort</t>
  </si>
  <si>
    <t>Major function loss, significant performance degradation, safety risk</t>
  </si>
  <si>
    <t>Minor performance degradation, workaround available</t>
  </si>
  <si>
    <t>Minimal impact, no operational effect</t>
  </si>
  <si>
    <t>Very unlikely (&lt; 0.001)</t>
  </si>
  <si>
    <t>Unlikely (0.001 - 0.01)</t>
  </si>
  <si>
    <t>Possible (0.01 - 0.1)</t>
  </si>
  <si>
    <t>Likely (0.1 - 0.3)</t>
  </si>
  <si>
    <t>Very likely (&gt; 0.3)</t>
  </si>
  <si>
    <t>Remarks on implementation</t>
  </si>
  <si>
    <t>Low Pass Filter is implemented</t>
  </si>
  <si>
    <t>Encoder stops, wheel moves --&gt; ESTOP</t>
  </si>
  <si>
    <t>Periodic HB, watchdog</t>
  </si>
  <si>
    <t>CRC-16/higher, discard corrupted pkt, request retransmit</t>
  </si>
  <si>
    <t>Will be done during design</t>
  </si>
  <si>
    <t>In Jetson check out of range for current sensor values, vel/encoder pos too</t>
  </si>
  <si>
    <t>If encoder failure --&gt;  meaning zero velocity despite change in motor cmd --&gt; "DEGRADED" mode --&gt; switch to other methods of vel estimation</t>
  </si>
  <si>
    <t>1. CRC, seq nos, ack protocol                           2. Retransmit last data if pkt loss</t>
  </si>
  <si>
    <t>1. time stamp check, if delay &gt; threshold, latency fault flagged                     2. RTOS will be implemented in next version</t>
  </si>
  <si>
    <t>Next version</t>
  </si>
  <si>
    <t>1. constant zero value of current sensor --&gt; "DEGRADED" mode         2. Think of redundancy</t>
  </si>
  <si>
    <t>Moniter motor values when motor is off --&gt; Auto Zero Calibration</t>
  </si>
  <si>
    <t>Need filter for current sensor too?</t>
  </si>
  <si>
    <t>I2C read timeout, NACK --&gt; sensor reset in next version</t>
  </si>
  <si>
    <t>Done during sensor selection</t>
  </si>
  <si>
    <t>Zero current with PWM command --&gt; switch to SAFE mode</t>
  </si>
  <si>
    <t>Current with zero PWM, velocity mismatch between cmd vs observed --&gt; ESTOP (check if we can stop power supply)</t>
  </si>
  <si>
    <t>low velocity than commanded velocity, high current --&gt; reduce speed cmd</t>
  </si>
  <si>
    <t>zero current, zero velocity --&gt; switch to SAFE</t>
  </si>
  <si>
    <t>velocity opposite to cmd velocity, high current --&gt; ESTOP</t>
  </si>
  <si>
    <t>Nonzero cmd, zero current and velocity --&gt; DEGRADED mode</t>
  </si>
  <si>
    <t>High current, low velocity --&gt; DEGRADED mode</t>
  </si>
  <si>
    <t>High current, zero velocity --&gt; ESTOP</t>
  </si>
  <si>
    <t>High velocity, no rover movement --&gt; ESTOP</t>
  </si>
  <si>
    <t>No HB or telemetry --&gt; ESTOP (/ DEGRADED)</t>
  </si>
  <si>
    <t>Use watchdog to check no deadlocks</t>
  </si>
  <si>
    <t>Already added</t>
  </si>
  <si>
    <t>Anti-windup in PI controller</t>
  </si>
  <si>
    <t>Adaptive gains in PI controller</t>
  </si>
  <si>
    <t>Adaptive feedforward gain</t>
  </si>
  <si>
    <t>During filter design, note this</t>
  </si>
  <si>
    <t>After implementing slip control techniques</t>
  </si>
  <si>
    <t>ESTOP (/ DEGRADED)</t>
  </si>
  <si>
    <t>No cmds from Jetson --&gt; ESTOP</t>
  </si>
  <si>
    <t>Bounds check</t>
  </si>
  <si>
    <t>1. No servo feedback              2. no change in servo feedback with cmd --&gt; lock to safe angle</t>
  </si>
  <si>
    <t>1. No servo feedback              2. Filter servo cmds</t>
  </si>
  <si>
    <t>1. No servo feedback              2. Angle lags cmd --&gt; latency flag falagged, reduce cmd rate</t>
  </si>
  <si>
    <t>1. No servo feedback              2. angle mismatch, check with other sensors --&gt; SAFE</t>
  </si>
  <si>
    <r>
      <rPr>
        <b/>
        <sz val="16"/>
        <rFont val="Arial"/>
        <family val="2"/>
      </rPr>
      <t>Product:</t>
    </r>
    <r>
      <rPr>
        <sz val="16"/>
        <rFont val="Arial"/>
        <family val="2"/>
      </rPr>
      <t xml:space="preserve"> Planetary Rover</t>
    </r>
  </si>
  <si>
    <r>
      <rPr>
        <b/>
        <sz val="16"/>
        <rFont val="Arial"/>
        <family val="2"/>
      </rPr>
      <t>Subsystem:</t>
    </r>
    <r>
      <rPr>
        <sz val="16"/>
        <rFont val="Arial"/>
        <family val="2"/>
      </rPr>
      <t xml:space="preserve"> Locomotion control and Communication</t>
    </r>
  </si>
  <si>
    <t xml:space="preserve">System: </t>
  </si>
  <si>
    <r>
      <rPr>
        <b/>
        <sz val="16"/>
        <rFont val="Arial"/>
        <family val="2"/>
      </rPr>
      <t xml:space="preserve">Version: </t>
    </r>
    <r>
      <rPr>
        <sz val="16"/>
        <rFont val="Arial"/>
        <family val="2"/>
      </rPr>
      <t xml:space="preserve">v1 </t>
    </r>
  </si>
  <si>
    <t>Negligible</t>
  </si>
  <si>
    <t>Probability Number Legend</t>
  </si>
  <si>
    <t>Criticality Number       (CN = SN × PN)</t>
  </si>
  <si>
    <r>
      <rPr>
        <b/>
        <sz val="16"/>
        <rFont val="Arial"/>
        <family val="2"/>
      </rPr>
      <t>Date:</t>
    </r>
    <r>
      <rPr>
        <sz val="16"/>
        <rFont val="Arial"/>
        <family val="2"/>
      </rPr>
      <t xml:space="preserve"> 24-01-2026</t>
    </r>
  </si>
  <si>
    <t>Higher number = Higher criticality</t>
  </si>
  <si>
    <t>Frequency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</si>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</sst>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0" fillId="0" borderId="5" xfId="0" applyBorder="1"/>
    <xf numFmtId="0" fontId="2" fillId="2" borderId="6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zoomScale="62" zoomScaleNormal="68" workbookViewId="0">
      <selection activeCell="Z8" sqref="Z8"/>
    </sheetView>
  </sheetViews>
  <sheetFormatPr defaultColWidth="11.44140625" defaultRowHeight="13.2" x14ac:dyDescent="0.25"/>
  <cols>
    <col min="1" max="1" width="12.5546875" customWidth="1"/>
    <col min="2" max="2" width="13.88671875" customWidth="1"/>
    <col min="3" max="3" width="23.5546875" customWidth="1"/>
    <col min="4" max="4" width="15.88671875" customWidth="1"/>
    <col min="5" max="5" width="37.88671875" customWidth="1"/>
    <col min="6" max="6" width="14.33203125" customWidth="1"/>
    <col min="7" max="7" width="15.6640625" customWidth="1"/>
    <col min="8" max="8" width="14.109375" customWidth="1"/>
    <col min="9" max="9" width="16.109375" customWidth="1"/>
    <col min="10" max="10" width="15.88671875" customWidth="1"/>
    <col min="12" max="12" width="11.88671875" customWidth="1"/>
    <col min="14" max="14" width="57.109375" customWidth="1"/>
    <col min="15" max="15" width="31.44140625" customWidth="1"/>
    <col min="16" max="16" width="32.109375" customWidth="1"/>
    <col min="17" max="17" width="8.77734375" style="1" customWidth="1"/>
    <col min="21" max="21" width="13.77734375" customWidth="1"/>
    <col min="23" max="23" width="29.109375" customWidth="1"/>
    <col min="26" max="26" width="25.77734375" customWidth="1"/>
  </cols>
  <sheetData>
    <row r="1" spans="1:29" ht="31.8" thickBot="1" x14ac:dyDescent="0.4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2"/>
      <c r="U1" s="28" t="s">
        <v>614</v>
      </c>
      <c r="V1" s="29"/>
      <c r="W1" s="30"/>
      <c r="Y1" s="31" t="s">
        <v>669</v>
      </c>
      <c r="Z1" s="32"/>
      <c r="AB1" s="45" t="s">
        <v>674</v>
      </c>
      <c r="AC1" s="46" t="s">
        <v>673</v>
      </c>
    </row>
    <row r="2" spans="1:29" ht="30.6" thickBot="1" x14ac:dyDescent="0.45">
      <c r="A2" s="34" t="s">
        <v>664</v>
      </c>
      <c r="B2" s="35"/>
      <c r="C2" s="35"/>
      <c r="D2" s="35"/>
      <c r="E2" s="36" t="s">
        <v>666</v>
      </c>
      <c r="F2" s="37"/>
      <c r="G2" s="37"/>
      <c r="H2" s="38"/>
      <c r="I2" s="34" t="s">
        <v>665</v>
      </c>
      <c r="J2" s="35"/>
      <c r="K2" s="35"/>
      <c r="L2" s="35"/>
      <c r="M2" s="35"/>
      <c r="N2" s="42"/>
      <c r="O2" s="3" t="s">
        <v>671</v>
      </c>
      <c r="P2" s="3" t="s">
        <v>667</v>
      </c>
      <c r="Q2"/>
      <c r="U2" s="24" t="s">
        <v>23</v>
      </c>
      <c r="V2" s="24">
        <v>4</v>
      </c>
      <c r="W2" s="25" t="s">
        <v>615</v>
      </c>
      <c r="Y2" s="24">
        <v>1</v>
      </c>
      <c r="Z2" s="26" t="s">
        <v>619</v>
      </c>
      <c r="AB2" s="43" cm="1">
        <f t="array" ref="AB2:AB8">_xlfn.UNIQUE($M$4:$M$69)</f>
        <v>12</v>
      </c>
      <c r="AC2" s="44">
        <f>COUNTIF($M$4:$M$69, AB2)</f>
        <v>6</v>
      </c>
    </row>
    <row r="3" spans="1:29" ht="63" thickBot="1" x14ac:dyDescent="0.3">
      <c r="A3" s="4" t="s">
        <v>1</v>
      </c>
      <c r="B3" s="6" t="s">
        <v>2</v>
      </c>
      <c r="C3" s="4" t="s">
        <v>3</v>
      </c>
      <c r="D3" s="6" t="s">
        <v>4</v>
      </c>
      <c r="E3" s="4" t="s">
        <v>5</v>
      </c>
      <c r="F3" s="6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6" t="s">
        <v>15</v>
      </c>
      <c r="P3" s="5" t="s">
        <v>624</v>
      </c>
      <c r="Q3"/>
      <c r="U3" s="24" t="s">
        <v>34</v>
      </c>
      <c r="V3" s="24">
        <v>3</v>
      </c>
      <c r="W3" s="25" t="s">
        <v>616</v>
      </c>
      <c r="Y3" s="24">
        <v>2</v>
      </c>
      <c r="Z3" s="26" t="s">
        <v>620</v>
      </c>
      <c r="AB3" s="43">
        <v>9</v>
      </c>
      <c r="AC3" s="44">
        <f>COUNTIF($M$4:$M$69, AB3)</f>
        <v>11</v>
      </c>
    </row>
    <row r="4" spans="1:29" ht="90.6" thickBot="1" x14ac:dyDescent="0.3">
      <c r="A4" s="19" t="s">
        <v>16</v>
      </c>
      <c r="B4" s="13" t="s">
        <v>17</v>
      </c>
      <c r="C4" s="14" t="s">
        <v>18</v>
      </c>
      <c r="D4" s="13" t="s">
        <v>19</v>
      </c>
      <c r="E4" s="19" t="s">
        <v>20</v>
      </c>
      <c r="F4" s="13" t="s">
        <v>21</v>
      </c>
      <c r="G4" s="14" t="s">
        <v>22</v>
      </c>
      <c r="H4" s="13" t="s">
        <v>23</v>
      </c>
      <c r="I4" s="19" t="s">
        <v>24</v>
      </c>
      <c r="J4" s="13" t="s">
        <v>25</v>
      </c>
      <c r="K4" s="14">
        <v>4</v>
      </c>
      <c r="L4" s="14">
        <v>3</v>
      </c>
      <c r="M4" s="13">
        <f>K4*L4</f>
        <v>12</v>
      </c>
      <c r="N4" s="13" t="s">
        <v>26</v>
      </c>
      <c r="O4" s="13" t="s">
        <v>27</v>
      </c>
      <c r="P4" s="7" t="s">
        <v>627</v>
      </c>
      <c r="Q4"/>
      <c r="U4" s="24" t="s">
        <v>52</v>
      </c>
      <c r="V4" s="24">
        <v>2</v>
      </c>
      <c r="W4" s="25" t="s">
        <v>617</v>
      </c>
      <c r="Y4" s="24">
        <v>3</v>
      </c>
      <c r="Z4" s="26" t="s">
        <v>621</v>
      </c>
      <c r="AB4" s="43">
        <v>8</v>
      </c>
      <c r="AC4" s="44">
        <f>COUNTIF($M$4:$M$69, AB4)</f>
        <v>21</v>
      </c>
    </row>
    <row r="5" spans="1:29" ht="90.6" thickBot="1" x14ac:dyDescent="0.3">
      <c r="A5" s="19" t="s">
        <v>28</v>
      </c>
      <c r="B5" s="14" t="s">
        <v>29</v>
      </c>
      <c r="C5" s="14" t="s">
        <v>18</v>
      </c>
      <c r="D5" s="14" t="s">
        <v>30</v>
      </c>
      <c r="E5" s="19" t="s">
        <v>31</v>
      </c>
      <c r="F5" s="14" t="s">
        <v>32</v>
      </c>
      <c r="G5" s="14" t="s">
        <v>33</v>
      </c>
      <c r="H5" s="14" t="s">
        <v>34</v>
      </c>
      <c r="I5" s="19" t="s">
        <v>35</v>
      </c>
      <c r="J5" s="14" t="s">
        <v>36</v>
      </c>
      <c r="K5" s="14">
        <v>3</v>
      </c>
      <c r="L5" s="14">
        <v>4</v>
      </c>
      <c r="M5" s="14">
        <f t="shared" ref="M5:M68" si="0">K5*L5</f>
        <v>12</v>
      </c>
      <c r="N5" s="14" t="s">
        <v>37</v>
      </c>
      <c r="O5" s="14" t="s">
        <v>38</v>
      </c>
      <c r="P5" s="7" t="s">
        <v>632</v>
      </c>
      <c r="Q5"/>
      <c r="U5" s="24" t="s">
        <v>668</v>
      </c>
      <c r="V5" s="24">
        <v>1</v>
      </c>
      <c r="W5" s="25" t="s">
        <v>618</v>
      </c>
      <c r="Y5" s="24">
        <v>4</v>
      </c>
      <c r="Z5" s="26" t="s">
        <v>622</v>
      </c>
      <c r="AB5" s="43">
        <v>6</v>
      </c>
      <c r="AC5" s="44">
        <f>COUNTIF($M$4:$M$69, AB5)</f>
        <v>22</v>
      </c>
    </row>
    <row r="6" spans="1:29" ht="120.6" thickBot="1" x14ac:dyDescent="0.3">
      <c r="A6" s="19" t="s">
        <v>39</v>
      </c>
      <c r="B6" s="14" t="s">
        <v>29</v>
      </c>
      <c r="C6" s="14" t="s">
        <v>18</v>
      </c>
      <c r="D6" s="14" t="s">
        <v>40</v>
      </c>
      <c r="E6" s="19" t="s">
        <v>41</v>
      </c>
      <c r="F6" s="14" t="s">
        <v>21</v>
      </c>
      <c r="G6" s="14" t="s">
        <v>42</v>
      </c>
      <c r="H6" s="14" t="s">
        <v>34</v>
      </c>
      <c r="I6" s="19" t="s">
        <v>43</v>
      </c>
      <c r="J6" s="14" t="s">
        <v>44</v>
      </c>
      <c r="K6" s="14">
        <v>3</v>
      </c>
      <c r="L6" s="14">
        <v>3</v>
      </c>
      <c r="M6" s="14">
        <f t="shared" si="0"/>
        <v>9</v>
      </c>
      <c r="N6" s="14" t="s">
        <v>45</v>
      </c>
      <c r="O6" s="14" t="s">
        <v>46</v>
      </c>
      <c r="P6" s="7" t="s">
        <v>628</v>
      </c>
      <c r="Q6"/>
      <c r="U6" s="33" t="s">
        <v>670</v>
      </c>
      <c r="V6" s="33"/>
      <c r="W6" s="27" t="s">
        <v>672</v>
      </c>
      <c r="Y6" s="24">
        <v>5</v>
      </c>
      <c r="Z6" s="26" t="s">
        <v>623</v>
      </c>
      <c r="AB6" s="43">
        <v>10</v>
      </c>
      <c r="AC6" s="44">
        <f>COUNTIF($M$4:$M$69, AB6)</f>
        <v>3</v>
      </c>
    </row>
    <row r="7" spans="1:29" ht="75.599999999999994" thickBot="1" x14ac:dyDescent="0.3">
      <c r="A7" s="20" t="s">
        <v>47</v>
      </c>
      <c r="B7" s="11" t="s">
        <v>29</v>
      </c>
      <c r="C7" s="11" t="s">
        <v>18</v>
      </c>
      <c r="D7" s="11" t="s">
        <v>48</v>
      </c>
      <c r="E7" s="20" t="s">
        <v>49</v>
      </c>
      <c r="F7" s="11" t="s">
        <v>50</v>
      </c>
      <c r="G7" s="11" t="s">
        <v>51</v>
      </c>
      <c r="H7" s="11" t="s">
        <v>52</v>
      </c>
      <c r="I7" s="20" t="s">
        <v>53</v>
      </c>
      <c r="J7" s="11" t="s">
        <v>54</v>
      </c>
      <c r="K7" s="11">
        <v>2</v>
      </c>
      <c r="L7" s="11">
        <v>4</v>
      </c>
      <c r="M7" s="11">
        <f t="shared" si="0"/>
        <v>8</v>
      </c>
      <c r="N7" s="11" t="s">
        <v>55</v>
      </c>
      <c r="O7" s="11" t="s">
        <v>56</v>
      </c>
      <c r="P7" s="8" t="s">
        <v>633</v>
      </c>
      <c r="Q7"/>
      <c r="AB7" s="43">
        <v>4</v>
      </c>
      <c r="AC7" s="44">
        <f>COUNTIF($M$4:$M$69, AB7)</f>
        <v>2</v>
      </c>
    </row>
    <row r="8" spans="1:29" ht="105.6" thickBot="1" x14ac:dyDescent="0.3">
      <c r="A8" s="21" t="s">
        <v>57</v>
      </c>
      <c r="B8" s="15" t="s">
        <v>58</v>
      </c>
      <c r="C8" s="15" t="s">
        <v>59</v>
      </c>
      <c r="D8" s="15" t="s">
        <v>60</v>
      </c>
      <c r="E8" s="21" t="s">
        <v>61</v>
      </c>
      <c r="F8" s="15" t="s">
        <v>32</v>
      </c>
      <c r="G8" s="15" t="s">
        <v>62</v>
      </c>
      <c r="H8" s="15" t="s">
        <v>34</v>
      </c>
      <c r="I8" s="21" t="s">
        <v>63</v>
      </c>
      <c r="J8" s="15" t="s">
        <v>64</v>
      </c>
      <c r="K8" s="15">
        <v>3</v>
      </c>
      <c r="L8" s="15">
        <v>4</v>
      </c>
      <c r="M8" s="15">
        <f t="shared" si="0"/>
        <v>12</v>
      </c>
      <c r="N8" s="15" t="s">
        <v>65</v>
      </c>
      <c r="O8" s="15" t="s">
        <v>66</v>
      </c>
      <c r="P8" s="9"/>
      <c r="Q8"/>
      <c r="AB8" s="43">
        <v>3</v>
      </c>
      <c r="AC8" s="44">
        <f>COUNTIF($M$4:$M$69, AB8)</f>
        <v>1</v>
      </c>
    </row>
    <row r="9" spans="1:29" ht="105" x14ac:dyDescent="0.25">
      <c r="A9" s="22" t="s">
        <v>67</v>
      </c>
      <c r="B9" s="16" t="s">
        <v>68</v>
      </c>
      <c r="C9" s="16" t="s">
        <v>59</v>
      </c>
      <c r="D9" s="16" t="s">
        <v>69</v>
      </c>
      <c r="E9" s="22" t="s">
        <v>70</v>
      </c>
      <c r="F9" s="16" t="s">
        <v>71</v>
      </c>
      <c r="G9" s="16" t="s">
        <v>72</v>
      </c>
      <c r="H9" s="16" t="s">
        <v>34</v>
      </c>
      <c r="I9" s="22" t="s">
        <v>73</v>
      </c>
      <c r="J9" s="16" t="s">
        <v>74</v>
      </c>
      <c r="K9" s="16">
        <v>3</v>
      </c>
      <c r="L9" s="16">
        <v>2</v>
      </c>
      <c r="M9" s="16">
        <f t="shared" si="0"/>
        <v>6</v>
      </c>
      <c r="N9" s="16" t="s">
        <v>75</v>
      </c>
      <c r="O9" s="16" t="s">
        <v>76</v>
      </c>
      <c r="P9" s="10" t="s">
        <v>629</v>
      </c>
      <c r="Q9"/>
    </row>
    <row r="10" spans="1:29" ht="75" x14ac:dyDescent="0.25">
      <c r="A10" s="19" t="s">
        <v>77</v>
      </c>
      <c r="B10" s="14" t="s">
        <v>68</v>
      </c>
      <c r="C10" s="14" t="s">
        <v>59</v>
      </c>
      <c r="D10" s="14" t="s">
        <v>78</v>
      </c>
      <c r="E10" s="19" t="s">
        <v>79</v>
      </c>
      <c r="F10" s="14" t="s">
        <v>50</v>
      </c>
      <c r="G10" s="14" t="s">
        <v>80</v>
      </c>
      <c r="H10" s="14" t="s">
        <v>52</v>
      </c>
      <c r="I10" s="19" t="s">
        <v>81</v>
      </c>
      <c r="J10" s="14" t="s">
        <v>82</v>
      </c>
      <c r="K10" s="14">
        <v>2</v>
      </c>
      <c r="L10" s="14">
        <v>4</v>
      </c>
      <c r="M10" s="14">
        <f t="shared" si="0"/>
        <v>8</v>
      </c>
      <c r="N10" s="14" t="s">
        <v>83</v>
      </c>
      <c r="O10" s="14" t="s">
        <v>84</v>
      </c>
      <c r="P10" s="7" t="s">
        <v>630</v>
      </c>
      <c r="Q10"/>
    </row>
    <row r="11" spans="1:29" ht="105" x14ac:dyDescent="0.25">
      <c r="A11" s="19" t="s">
        <v>85</v>
      </c>
      <c r="B11" s="14" t="s">
        <v>86</v>
      </c>
      <c r="C11" s="14" t="s">
        <v>87</v>
      </c>
      <c r="D11" s="14" t="s">
        <v>88</v>
      </c>
      <c r="E11" s="19" t="s">
        <v>89</v>
      </c>
      <c r="F11" s="14" t="s">
        <v>50</v>
      </c>
      <c r="G11" s="14" t="s">
        <v>90</v>
      </c>
      <c r="H11" s="14" t="s">
        <v>34</v>
      </c>
      <c r="I11" s="19" t="s">
        <v>91</v>
      </c>
      <c r="J11" s="14" t="s">
        <v>92</v>
      </c>
      <c r="K11" s="14">
        <v>3</v>
      </c>
      <c r="L11" s="14">
        <v>3</v>
      </c>
      <c r="M11" s="14">
        <f t="shared" si="0"/>
        <v>9</v>
      </c>
      <c r="N11" s="14" t="s">
        <v>93</v>
      </c>
      <c r="O11" s="14" t="s">
        <v>94</v>
      </c>
      <c r="P11" s="7" t="s">
        <v>631</v>
      </c>
      <c r="Q11"/>
    </row>
    <row r="12" spans="1:29" ht="120" x14ac:dyDescent="0.25">
      <c r="A12" s="21" t="s">
        <v>95</v>
      </c>
      <c r="B12" s="15" t="s">
        <v>96</v>
      </c>
      <c r="C12" s="15" t="s">
        <v>87</v>
      </c>
      <c r="D12" s="15" t="s">
        <v>97</v>
      </c>
      <c r="E12" s="21" t="s">
        <v>98</v>
      </c>
      <c r="F12" s="15" t="s">
        <v>50</v>
      </c>
      <c r="G12" s="15" t="s">
        <v>99</v>
      </c>
      <c r="H12" s="15" t="s">
        <v>34</v>
      </c>
      <c r="I12" s="21" t="s">
        <v>100</v>
      </c>
      <c r="J12" s="15" t="s">
        <v>101</v>
      </c>
      <c r="K12" s="15">
        <v>3</v>
      </c>
      <c r="L12" s="15">
        <v>3</v>
      </c>
      <c r="M12" s="15">
        <f t="shared" si="0"/>
        <v>9</v>
      </c>
      <c r="N12" s="15" t="s">
        <v>102</v>
      </c>
      <c r="O12" s="15" t="s">
        <v>103</v>
      </c>
      <c r="P12" s="9" t="s">
        <v>634</v>
      </c>
      <c r="Q12"/>
    </row>
    <row r="13" spans="1:29" ht="90" x14ac:dyDescent="0.25">
      <c r="A13" s="21" t="s">
        <v>104</v>
      </c>
      <c r="B13" s="15" t="s">
        <v>96</v>
      </c>
      <c r="C13" s="15" t="s">
        <v>87</v>
      </c>
      <c r="D13" s="15" t="s">
        <v>105</v>
      </c>
      <c r="E13" s="21" t="s">
        <v>106</v>
      </c>
      <c r="F13" s="15" t="s">
        <v>107</v>
      </c>
      <c r="G13" s="15" t="s">
        <v>108</v>
      </c>
      <c r="H13" s="15" t="s">
        <v>34</v>
      </c>
      <c r="I13" s="21" t="s">
        <v>109</v>
      </c>
      <c r="J13" s="15" t="s">
        <v>110</v>
      </c>
      <c r="K13" s="15">
        <v>3</v>
      </c>
      <c r="L13" s="15">
        <v>4</v>
      </c>
      <c r="M13" s="15">
        <f t="shared" si="0"/>
        <v>12</v>
      </c>
      <c r="N13" s="15" t="s">
        <v>111</v>
      </c>
      <c r="O13" s="15" t="s">
        <v>112</v>
      </c>
      <c r="P13" s="9" t="s">
        <v>634</v>
      </c>
      <c r="Q13"/>
    </row>
    <row r="14" spans="1:29" ht="90" x14ac:dyDescent="0.25">
      <c r="A14" s="19" t="s">
        <v>113</v>
      </c>
      <c r="B14" s="14" t="s">
        <v>96</v>
      </c>
      <c r="C14" s="14" t="s">
        <v>87</v>
      </c>
      <c r="D14" s="14" t="s">
        <v>114</v>
      </c>
      <c r="E14" s="19" t="s">
        <v>115</v>
      </c>
      <c r="F14" s="14" t="s">
        <v>50</v>
      </c>
      <c r="G14" s="14" t="s">
        <v>116</v>
      </c>
      <c r="H14" s="14" t="s">
        <v>52</v>
      </c>
      <c r="I14" s="19" t="s">
        <v>117</v>
      </c>
      <c r="J14" s="14" t="s">
        <v>118</v>
      </c>
      <c r="K14" s="14">
        <v>2</v>
      </c>
      <c r="L14" s="14">
        <v>4</v>
      </c>
      <c r="M14" s="14">
        <f t="shared" si="0"/>
        <v>8</v>
      </c>
      <c r="N14" s="14" t="s">
        <v>119</v>
      </c>
      <c r="O14" s="14" t="s">
        <v>120</v>
      </c>
      <c r="P14" s="7" t="s">
        <v>625</v>
      </c>
      <c r="Q14"/>
    </row>
    <row r="15" spans="1:29" ht="90" x14ac:dyDescent="0.25">
      <c r="A15" s="19" t="s">
        <v>121</v>
      </c>
      <c r="B15" s="14" t="s">
        <v>96</v>
      </c>
      <c r="C15" s="14" t="s">
        <v>87</v>
      </c>
      <c r="D15" s="14" t="s">
        <v>122</v>
      </c>
      <c r="E15" s="19" t="s">
        <v>123</v>
      </c>
      <c r="F15" s="14" t="s">
        <v>50</v>
      </c>
      <c r="G15" s="14" t="s">
        <v>124</v>
      </c>
      <c r="H15" s="14" t="s">
        <v>52</v>
      </c>
      <c r="I15" s="19" t="s">
        <v>125</v>
      </c>
      <c r="J15" s="14" t="s">
        <v>126</v>
      </c>
      <c r="K15" s="14">
        <v>2</v>
      </c>
      <c r="L15" s="14">
        <v>3</v>
      </c>
      <c r="M15" s="14">
        <f t="shared" si="0"/>
        <v>6</v>
      </c>
      <c r="N15" s="14" t="s">
        <v>127</v>
      </c>
      <c r="O15" s="14" t="s">
        <v>128</v>
      </c>
      <c r="P15" s="7" t="s">
        <v>625</v>
      </c>
      <c r="Q15"/>
    </row>
    <row r="16" spans="1:29" ht="105" x14ac:dyDescent="0.25">
      <c r="A16" s="19" t="s">
        <v>129</v>
      </c>
      <c r="B16" s="14" t="s">
        <v>96</v>
      </c>
      <c r="C16" s="14" t="s">
        <v>87</v>
      </c>
      <c r="D16" s="14" t="s">
        <v>130</v>
      </c>
      <c r="E16" s="19" t="s">
        <v>131</v>
      </c>
      <c r="F16" s="14" t="s">
        <v>50</v>
      </c>
      <c r="G16" s="14" t="s">
        <v>132</v>
      </c>
      <c r="H16" s="14" t="s">
        <v>34</v>
      </c>
      <c r="I16" s="19" t="s">
        <v>133</v>
      </c>
      <c r="J16" s="14" t="s">
        <v>134</v>
      </c>
      <c r="K16" s="14">
        <v>3</v>
      </c>
      <c r="L16" s="14">
        <v>2</v>
      </c>
      <c r="M16" s="14">
        <f t="shared" si="0"/>
        <v>6</v>
      </c>
      <c r="N16" s="14" t="s">
        <v>135</v>
      </c>
      <c r="O16" s="14" t="s">
        <v>136</v>
      </c>
      <c r="P16" s="7" t="s">
        <v>626</v>
      </c>
    </row>
    <row r="17" spans="1:16" ht="105" x14ac:dyDescent="0.25">
      <c r="A17" s="20" t="s">
        <v>137</v>
      </c>
      <c r="B17" s="11" t="s">
        <v>138</v>
      </c>
      <c r="C17" s="11" t="s">
        <v>139</v>
      </c>
      <c r="D17" s="11" t="s">
        <v>140</v>
      </c>
      <c r="E17" s="20" t="s">
        <v>141</v>
      </c>
      <c r="F17" s="11" t="s">
        <v>50</v>
      </c>
      <c r="G17" s="11" t="s">
        <v>142</v>
      </c>
      <c r="H17" s="11" t="s">
        <v>34</v>
      </c>
      <c r="I17" s="20" t="s">
        <v>143</v>
      </c>
      <c r="J17" s="11" t="s">
        <v>144</v>
      </c>
      <c r="K17" s="11">
        <v>3</v>
      </c>
      <c r="L17" s="11">
        <v>2</v>
      </c>
      <c r="M17" s="11">
        <f t="shared" si="0"/>
        <v>6</v>
      </c>
      <c r="N17" s="11" t="s">
        <v>145</v>
      </c>
      <c r="O17" s="11" t="s">
        <v>146</v>
      </c>
      <c r="P17" s="8" t="s">
        <v>635</v>
      </c>
    </row>
    <row r="18" spans="1:16" ht="90" x14ac:dyDescent="0.25">
      <c r="A18" s="19" t="s">
        <v>147</v>
      </c>
      <c r="B18" s="14" t="s">
        <v>148</v>
      </c>
      <c r="C18" s="14" t="s">
        <v>139</v>
      </c>
      <c r="D18" s="14" t="s">
        <v>149</v>
      </c>
      <c r="E18" s="19" t="s">
        <v>150</v>
      </c>
      <c r="F18" s="14" t="s">
        <v>151</v>
      </c>
      <c r="G18" s="14" t="s">
        <v>152</v>
      </c>
      <c r="H18" s="14" t="s">
        <v>52</v>
      </c>
      <c r="I18" s="19" t="s">
        <v>153</v>
      </c>
      <c r="J18" s="14" t="s">
        <v>154</v>
      </c>
      <c r="K18" s="14">
        <v>2</v>
      </c>
      <c r="L18" s="14">
        <v>4</v>
      </c>
      <c r="M18" s="14">
        <f t="shared" si="0"/>
        <v>8</v>
      </c>
      <c r="N18" s="14" t="s">
        <v>155</v>
      </c>
      <c r="O18" s="14" t="s">
        <v>156</v>
      </c>
      <c r="P18" s="7" t="s">
        <v>636</v>
      </c>
    </row>
    <row r="19" spans="1:16" ht="90" x14ac:dyDescent="0.25">
      <c r="A19" s="21" t="s">
        <v>157</v>
      </c>
      <c r="B19" s="15" t="s">
        <v>148</v>
      </c>
      <c r="C19" s="15" t="s">
        <v>139</v>
      </c>
      <c r="D19" s="15" t="s">
        <v>158</v>
      </c>
      <c r="E19" s="21" t="s">
        <v>159</v>
      </c>
      <c r="F19" s="15" t="s">
        <v>50</v>
      </c>
      <c r="G19" s="15" t="s">
        <v>160</v>
      </c>
      <c r="H19" s="15" t="s">
        <v>52</v>
      </c>
      <c r="I19" s="21" t="s">
        <v>161</v>
      </c>
      <c r="J19" s="15" t="s">
        <v>162</v>
      </c>
      <c r="K19" s="15">
        <v>2</v>
      </c>
      <c r="L19" s="15">
        <v>3</v>
      </c>
      <c r="M19" s="15">
        <f t="shared" si="0"/>
        <v>6</v>
      </c>
      <c r="N19" s="15" t="s">
        <v>163</v>
      </c>
      <c r="O19" s="15" t="s">
        <v>164</v>
      </c>
      <c r="P19" s="9"/>
    </row>
    <row r="20" spans="1:16" ht="90" x14ac:dyDescent="0.25">
      <c r="A20" s="20" t="s">
        <v>165</v>
      </c>
      <c r="B20" s="11" t="s">
        <v>148</v>
      </c>
      <c r="C20" s="11" t="s">
        <v>139</v>
      </c>
      <c r="D20" s="11" t="s">
        <v>166</v>
      </c>
      <c r="E20" s="20" t="s">
        <v>167</v>
      </c>
      <c r="F20" s="11" t="s">
        <v>50</v>
      </c>
      <c r="G20" s="11" t="s">
        <v>168</v>
      </c>
      <c r="H20" s="11" t="s">
        <v>52</v>
      </c>
      <c r="I20" s="20" t="s">
        <v>169</v>
      </c>
      <c r="J20" s="11" t="s">
        <v>170</v>
      </c>
      <c r="K20" s="11">
        <v>2</v>
      </c>
      <c r="L20" s="11">
        <v>5</v>
      </c>
      <c r="M20" s="11">
        <f t="shared" si="0"/>
        <v>10</v>
      </c>
      <c r="N20" s="11" t="s">
        <v>171</v>
      </c>
      <c r="O20" s="11" t="s">
        <v>172</v>
      </c>
      <c r="P20" s="8" t="s">
        <v>637</v>
      </c>
    </row>
    <row r="21" spans="1:16" ht="90" x14ac:dyDescent="0.25">
      <c r="A21" s="22" t="s">
        <v>173</v>
      </c>
      <c r="B21" s="16" t="s">
        <v>148</v>
      </c>
      <c r="C21" s="16" t="s">
        <v>139</v>
      </c>
      <c r="D21" s="16" t="s">
        <v>174</v>
      </c>
      <c r="E21" s="22" t="s">
        <v>175</v>
      </c>
      <c r="F21" s="16" t="s">
        <v>176</v>
      </c>
      <c r="G21" s="16" t="s">
        <v>177</v>
      </c>
      <c r="H21" s="16" t="s">
        <v>34</v>
      </c>
      <c r="I21" s="22" t="s">
        <v>178</v>
      </c>
      <c r="J21" s="16" t="s">
        <v>179</v>
      </c>
      <c r="K21" s="16">
        <v>3</v>
      </c>
      <c r="L21" s="16">
        <v>3</v>
      </c>
      <c r="M21" s="16">
        <f t="shared" si="0"/>
        <v>9</v>
      </c>
      <c r="N21" s="16" t="s">
        <v>180</v>
      </c>
      <c r="O21" s="16" t="s">
        <v>181</v>
      </c>
      <c r="P21" s="10" t="s">
        <v>639</v>
      </c>
    </row>
    <row r="22" spans="1:16" ht="60" x14ac:dyDescent="0.25">
      <c r="A22" s="20" t="s">
        <v>182</v>
      </c>
      <c r="B22" s="11" t="s">
        <v>148</v>
      </c>
      <c r="C22" s="11" t="s">
        <v>139</v>
      </c>
      <c r="D22" s="11" t="s">
        <v>183</v>
      </c>
      <c r="E22" s="20" t="s">
        <v>184</v>
      </c>
      <c r="F22" s="11" t="s">
        <v>50</v>
      </c>
      <c r="G22" s="11" t="s">
        <v>185</v>
      </c>
      <c r="H22" s="11" t="s">
        <v>34</v>
      </c>
      <c r="I22" s="20" t="s">
        <v>186</v>
      </c>
      <c r="J22" s="11" t="s">
        <v>187</v>
      </c>
      <c r="K22" s="11">
        <v>3</v>
      </c>
      <c r="L22" s="11">
        <v>4</v>
      </c>
      <c r="M22" s="11">
        <f t="shared" si="0"/>
        <v>12</v>
      </c>
      <c r="N22" s="11" t="s">
        <v>188</v>
      </c>
      <c r="O22" s="11" t="s">
        <v>189</v>
      </c>
      <c r="P22" s="11" t="s">
        <v>638</v>
      </c>
    </row>
    <row r="23" spans="1:16" ht="60" x14ac:dyDescent="0.25">
      <c r="A23" s="19" t="s">
        <v>190</v>
      </c>
      <c r="B23" s="14" t="s">
        <v>191</v>
      </c>
      <c r="C23" s="14" t="s">
        <v>192</v>
      </c>
      <c r="D23" s="14" t="s">
        <v>193</v>
      </c>
      <c r="E23" s="19" t="s">
        <v>194</v>
      </c>
      <c r="F23" s="14" t="s">
        <v>50</v>
      </c>
      <c r="G23" s="14" t="s">
        <v>195</v>
      </c>
      <c r="H23" s="14" t="s">
        <v>34</v>
      </c>
      <c r="I23" s="19" t="s">
        <v>196</v>
      </c>
      <c r="J23" s="14" t="s">
        <v>197</v>
      </c>
      <c r="K23" s="14">
        <v>3</v>
      </c>
      <c r="L23" s="14">
        <v>2</v>
      </c>
      <c r="M23" s="14">
        <f t="shared" si="0"/>
        <v>6</v>
      </c>
      <c r="N23" s="14" t="s">
        <v>198</v>
      </c>
      <c r="O23" s="14" t="s">
        <v>199</v>
      </c>
      <c r="P23" s="7" t="s">
        <v>640</v>
      </c>
    </row>
    <row r="24" spans="1:16" ht="105" x14ac:dyDescent="0.25">
      <c r="A24" s="20" t="s">
        <v>200</v>
      </c>
      <c r="B24" s="11" t="s">
        <v>201</v>
      </c>
      <c r="C24" s="11" t="s">
        <v>192</v>
      </c>
      <c r="D24" s="11" t="s">
        <v>202</v>
      </c>
      <c r="E24" s="20" t="s">
        <v>203</v>
      </c>
      <c r="F24" s="11" t="s">
        <v>50</v>
      </c>
      <c r="G24" s="11" t="s">
        <v>204</v>
      </c>
      <c r="H24" s="11" t="s">
        <v>23</v>
      </c>
      <c r="I24" s="20" t="s">
        <v>205</v>
      </c>
      <c r="J24" s="11" t="s">
        <v>206</v>
      </c>
      <c r="K24" s="11">
        <v>4</v>
      </c>
      <c r="L24" s="11">
        <v>1</v>
      </c>
      <c r="M24" s="11">
        <f t="shared" si="0"/>
        <v>4</v>
      </c>
      <c r="N24" s="11" t="s">
        <v>207</v>
      </c>
      <c r="O24" s="11" t="s">
        <v>208</v>
      </c>
      <c r="P24" s="8" t="s">
        <v>641</v>
      </c>
    </row>
    <row r="25" spans="1:16" ht="90" x14ac:dyDescent="0.25">
      <c r="A25" s="19" t="s">
        <v>209</v>
      </c>
      <c r="B25" s="14" t="s">
        <v>201</v>
      </c>
      <c r="C25" s="14" t="s">
        <v>192</v>
      </c>
      <c r="D25" s="14" t="s">
        <v>210</v>
      </c>
      <c r="E25" s="19" t="s">
        <v>211</v>
      </c>
      <c r="F25" s="14" t="s">
        <v>50</v>
      </c>
      <c r="G25" s="14" t="s">
        <v>212</v>
      </c>
      <c r="H25" s="14" t="s">
        <v>52</v>
      </c>
      <c r="I25" s="19" t="s">
        <v>213</v>
      </c>
      <c r="J25" s="14" t="s">
        <v>214</v>
      </c>
      <c r="K25" s="14">
        <v>2</v>
      </c>
      <c r="L25" s="14">
        <v>3</v>
      </c>
      <c r="M25" s="14">
        <f t="shared" si="0"/>
        <v>6</v>
      </c>
      <c r="N25" s="14" t="s">
        <v>215</v>
      </c>
      <c r="O25" s="14" t="s">
        <v>216</v>
      </c>
      <c r="P25" s="7" t="s">
        <v>642</v>
      </c>
    </row>
    <row r="26" spans="1:16" ht="75" x14ac:dyDescent="0.25">
      <c r="A26" s="19" t="s">
        <v>217</v>
      </c>
      <c r="B26" s="14" t="s">
        <v>201</v>
      </c>
      <c r="C26" s="14" t="s">
        <v>192</v>
      </c>
      <c r="D26" s="14" t="s">
        <v>218</v>
      </c>
      <c r="E26" s="19" t="s">
        <v>219</v>
      </c>
      <c r="F26" s="14" t="s">
        <v>50</v>
      </c>
      <c r="G26" s="14" t="s">
        <v>220</v>
      </c>
      <c r="H26" s="14" t="s">
        <v>34</v>
      </c>
      <c r="I26" s="19" t="s">
        <v>221</v>
      </c>
      <c r="J26" s="14" t="s">
        <v>222</v>
      </c>
      <c r="K26" s="14">
        <v>3</v>
      </c>
      <c r="L26" s="14">
        <v>2</v>
      </c>
      <c r="M26" s="14">
        <f t="shared" si="0"/>
        <v>6</v>
      </c>
      <c r="N26" s="14" t="s">
        <v>223</v>
      </c>
      <c r="O26" s="14" t="s">
        <v>224</v>
      </c>
      <c r="P26" s="7" t="s">
        <v>643</v>
      </c>
    </row>
    <row r="27" spans="1:16" ht="90" x14ac:dyDescent="0.25">
      <c r="A27" s="19" t="s">
        <v>225</v>
      </c>
      <c r="B27" s="14" t="s">
        <v>201</v>
      </c>
      <c r="C27" s="14" t="s">
        <v>192</v>
      </c>
      <c r="D27" s="14" t="s">
        <v>226</v>
      </c>
      <c r="E27" s="19" t="s">
        <v>227</v>
      </c>
      <c r="F27" s="14" t="s">
        <v>50</v>
      </c>
      <c r="G27" s="14" t="s">
        <v>228</v>
      </c>
      <c r="H27" s="14" t="s">
        <v>34</v>
      </c>
      <c r="I27" s="19" t="s">
        <v>229</v>
      </c>
      <c r="J27" s="14" t="s">
        <v>230</v>
      </c>
      <c r="K27" s="14">
        <v>3</v>
      </c>
      <c r="L27" s="14">
        <v>2</v>
      </c>
      <c r="M27" s="14">
        <f t="shared" si="0"/>
        <v>6</v>
      </c>
      <c r="N27" s="14" t="s">
        <v>231</v>
      </c>
      <c r="O27" s="14" t="s">
        <v>232</v>
      </c>
      <c r="P27" s="7" t="s">
        <v>644</v>
      </c>
    </row>
    <row r="28" spans="1:16" ht="90" x14ac:dyDescent="0.25">
      <c r="A28" s="21" t="s">
        <v>233</v>
      </c>
      <c r="B28" s="15" t="s">
        <v>234</v>
      </c>
      <c r="C28" s="15" t="s">
        <v>235</v>
      </c>
      <c r="D28" s="15" t="s">
        <v>236</v>
      </c>
      <c r="E28" s="21" t="s">
        <v>237</v>
      </c>
      <c r="F28" s="15" t="s">
        <v>50</v>
      </c>
      <c r="G28" s="15" t="s">
        <v>238</v>
      </c>
      <c r="H28" s="15" t="s">
        <v>34</v>
      </c>
      <c r="I28" s="21" t="s">
        <v>239</v>
      </c>
      <c r="J28" s="15" t="s">
        <v>240</v>
      </c>
      <c r="K28" s="15">
        <v>3</v>
      </c>
      <c r="L28" s="15">
        <v>2</v>
      </c>
      <c r="M28" s="15">
        <f t="shared" si="0"/>
        <v>6</v>
      </c>
      <c r="N28" s="15" t="s">
        <v>241</v>
      </c>
      <c r="O28" s="15" t="s">
        <v>242</v>
      </c>
      <c r="P28" s="9" t="s">
        <v>660</v>
      </c>
    </row>
    <row r="29" spans="1:16" ht="75" x14ac:dyDescent="0.25">
      <c r="A29" s="21" t="s">
        <v>243</v>
      </c>
      <c r="B29" s="15" t="s">
        <v>244</v>
      </c>
      <c r="C29" s="15" t="s">
        <v>235</v>
      </c>
      <c r="D29" s="15" t="s">
        <v>245</v>
      </c>
      <c r="E29" s="21" t="s">
        <v>246</v>
      </c>
      <c r="F29" s="15" t="s">
        <v>50</v>
      </c>
      <c r="G29" s="15" t="s">
        <v>247</v>
      </c>
      <c r="H29" s="15" t="s">
        <v>52</v>
      </c>
      <c r="I29" s="21" t="s">
        <v>248</v>
      </c>
      <c r="J29" s="15" t="s">
        <v>249</v>
      </c>
      <c r="K29" s="15">
        <v>2</v>
      </c>
      <c r="L29" s="15">
        <v>4</v>
      </c>
      <c r="M29" s="15">
        <f t="shared" si="0"/>
        <v>8</v>
      </c>
      <c r="N29" s="15" t="s">
        <v>250</v>
      </c>
      <c r="O29" s="15" t="s">
        <v>128</v>
      </c>
      <c r="P29" s="9" t="s">
        <v>661</v>
      </c>
    </row>
    <row r="30" spans="1:16" ht="75" x14ac:dyDescent="0.25">
      <c r="A30" s="21" t="s">
        <v>251</v>
      </c>
      <c r="B30" s="15" t="s">
        <v>244</v>
      </c>
      <c r="C30" s="15" t="s">
        <v>235</v>
      </c>
      <c r="D30" s="15" t="s">
        <v>252</v>
      </c>
      <c r="E30" s="21" t="s">
        <v>253</v>
      </c>
      <c r="F30" s="15" t="s">
        <v>50</v>
      </c>
      <c r="G30" s="15" t="s">
        <v>254</v>
      </c>
      <c r="H30" s="15" t="s">
        <v>52</v>
      </c>
      <c r="I30" s="21" t="s">
        <v>255</v>
      </c>
      <c r="J30" s="15" t="s">
        <v>256</v>
      </c>
      <c r="K30" s="15">
        <v>2</v>
      </c>
      <c r="L30" s="15">
        <v>3</v>
      </c>
      <c r="M30" s="15">
        <f t="shared" si="0"/>
        <v>6</v>
      </c>
      <c r="N30" s="15" t="s">
        <v>257</v>
      </c>
      <c r="O30" s="15" t="s">
        <v>258</v>
      </c>
      <c r="P30" s="9" t="s">
        <v>662</v>
      </c>
    </row>
    <row r="31" spans="1:16" ht="90" x14ac:dyDescent="0.25">
      <c r="A31" s="21" t="s">
        <v>259</v>
      </c>
      <c r="B31" s="15" t="s">
        <v>244</v>
      </c>
      <c r="C31" s="15" t="s">
        <v>235</v>
      </c>
      <c r="D31" s="15" t="s">
        <v>260</v>
      </c>
      <c r="E31" s="21" t="s">
        <v>261</v>
      </c>
      <c r="F31" s="15" t="s">
        <v>50</v>
      </c>
      <c r="G31" s="15" t="s">
        <v>262</v>
      </c>
      <c r="H31" s="15" t="s">
        <v>52</v>
      </c>
      <c r="I31" s="21" t="s">
        <v>263</v>
      </c>
      <c r="J31" s="15" t="s">
        <v>264</v>
      </c>
      <c r="K31" s="15">
        <v>2</v>
      </c>
      <c r="L31" s="15">
        <v>4</v>
      </c>
      <c r="M31" s="15">
        <f t="shared" si="0"/>
        <v>8</v>
      </c>
      <c r="N31" s="15" t="s">
        <v>265</v>
      </c>
      <c r="O31" s="15" t="s">
        <v>266</v>
      </c>
      <c r="P31" s="9" t="s">
        <v>663</v>
      </c>
    </row>
    <row r="32" spans="1:16" ht="105" x14ac:dyDescent="0.25">
      <c r="A32" s="21" t="s">
        <v>267</v>
      </c>
      <c r="B32" s="15" t="s">
        <v>244</v>
      </c>
      <c r="C32" s="15" t="s">
        <v>235</v>
      </c>
      <c r="D32" s="15" t="s">
        <v>268</v>
      </c>
      <c r="E32" s="21" t="s">
        <v>269</v>
      </c>
      <c r="F32" s="15" t="s">
        <v>50</v>
      </c>
      <c r="G32" s="15" t="s">
        <v>270</v>
      </c>
      <c r="H32" s="15" t="s">
        <v>34</v>
      </c>
      <c r="I32" s="21" t="s">
        <v>271</v>
      </c>
      <c r="J32" s="15" t="s">
        <v>272</v>
      </c>
      <c r="K32" s="15">
        <v>3</v>
      </c>
      <c r="L32" s="15">
        <v>2</v>
      </c>
      <c r="M32" s="15">
        <f t="shared" si="0"/>
        <v>6</v>
      </c>
      <c r="N32" s="15" t="s">
        <v>273</v>
      </c>
      <c r="O32" s="15" t="s">
        <v>274</v>
      </c>
      <c r="P32" s="9"/>
    </row>
    <row r="33" spans="1:16" ht="105" x14ac:dyDescent="0.25">
      <c r="A33" s="19" t="s">
        <v>275</v>
      </c>
      <c r="B33" s="14" t="s">
        <v>276</v>
      </c>
      <c r="C33" s="14" t="s">
        <v>277</v>
      </c>
      <c r="D33" s="14" t="s">
        <v>278</v>
      </c>
      <c r="E33" s="19" t="s">
        <v>279</v>
      </c>
      <c r="F33" s="14" t="s">
        <v>50</v>
      </c>
      <c r="G33" s="14" t="s">
        <v>280</v>
      </c>
      <c r="H33" s="14" t="s">
        <v>34</v>
      </c>
      <c r="I33" s="19" t="s">
        <v>281</v>
      </c>
      <c r="J33" s="14" t="s">
        <v>282</v>
      </c>
      <c r="K33" s="14">
        <v>3</v>
      </c>
      <c r="L33" s="14">
        <v>2</v>
      </c>
      <c r="M33" s="14">
        <f t="shared" si="0"/>
        <v>6</v>
      </c>
      <c r="N33" s="14" t="s">
        <v>283</v>
      </c>
      <c r="O33" s="14" t="s">
        <v>284</v>
      </c>
      <c r="P33" s="7" t="s">
        <v>645</v>
      </c>
    </row>
    <row r="34" spans="1:16" ht="90" x14ac:dyDescent="0.25">
      <c r="A34" s="19" t="s">
        <v>285</v>
      </c>
      <c r="B34" s="14" t="s">
        <v>286</v>
      </c>
      <c r="C34" s="14" t="s">
        <v>277</v>
      </c>
      <c r="D34" s="14" t="s">
        <v>287</v>
      </c>
      <c r="E34" s="19" t="s">
        <v>288</v>
      </c>
      <c r="F34" s="14" t="s">
        <v>50</v>
      </c>
      <c r="G34" s="14" t="s">
        <v>289</v>
      </c>
      <c r="H34" s="14" t="s">
        <v>34</v>
      </c>
      <c r="I34" s="19" t="s">
        <v>290</v>
      </c>
      <c r="J34" s="14" t="s">
        <v>291</v>
      </c>
      <c r="K34" s="14">
        <v>3</v>
      </c>
      <c r="L34" s="14">
        <v>1</v>
      </c>
      <c r="M34" s="14">
        <f t="shared" si="0"/>
        <v>3</v>
      </c>
      <c r="N34" s="14" t="s">
        <v>292</v>
      </c>
      <c r="O34" s="14" t="s">
        <v>293</v>
      </c>
      <c r="P34" s="7" t="s">
        <v>646</v>
      </c>
    </row>
    <row r="35" spans="1:16" ht="75" x14ac:dyDescent="0.25">
      <c r="A35" s="19" t="s">
        <v>294</v>
      </c>
      <c r="B35" s="14" t="s">
        <v>286</v>
      </c>
      <c r="C35" s="14" t="s">
        <v>277</v>
      </c>
      <c r="D35" s="14" t="s">
        <v>295</v>
      </c>
      <c r="E35" s="19" t="s">
        <v>296</v>
      </c>
      <c r="F35" s="14" t="s">
        <v>50</v>
      </c>
      <c r="G35" s="14" t="s">
        <v>297</v>
      </c>
      <c r="H35" s="14" t="s">
        <v>34</v>
      </c>
      <c r="I35" s="19" t="s">
        <v>298</v>
      </c>
      <c r="J35" s="14" t="s">
        <v>299</v>
      </c>
      <c r="K35" s="14">
        <v>3</v>
      </c>
      <c r="L35" s="14">
        <v>2</v>
      </c>
      <c r="M35" s="14">
        <f t="shared" si="0"/>
        <v>6</v>
      </c>
      <c r="N35" s="14" t="s">
        <v>300</v>
      </c>
      <c r="O35" s="14" t="s">
        <v>301</v>
      </c>
      <c r="P35" s="7" t="s">
        <v>647</v>
      </c>
    </row>
    <row r="36" spans="1:16" ht="90" x14ac:dyDescent="0.25">
      <c r="A36" s="21" t="s">
        <v>302</v>
      </c>
      <c r="B36" s="15" t="s">
        <v>286</v>
      </c>
      <c r="C36" s="15" t="s">
        <v>277</v>
      </c>
      <c r="D36" s="15" t="s">
        <v>303</v>
      </c>
      <c r="E36" s="21" t="s">
        <v>304</v>
      </c>
      <c r="F36" s="15" t="s">
        <v>50</v>
      </c>
      <c r="G36" s="15" t="s">
        <v>305</v>
      </c>
      <c r="H36" s="15" t="s">
        <v>52</v>
      </c>
      <c r="I36" s="21" t="s">
        <v>306</v>
      </c>
      <c r="J36" s="15" t="s">
        <v>307</v>
      </c>
      <c r="K36" s="15">
        <v>2</v>
      </c>
      <c r="L36" s="15">
        <v>4</v>
      </c>
      <c r="M36" s="15">
        <f t="shared" si="0"/>
        <v>8</v>
      </c>
      <c r="N36" s="15" t="s">
        <v>308</v>
      </c>
      <c r="O36" s="15" t="s">
        <v>216</v>
      </c>
      <c r="P36" s="9"/>
    </row>
    <row r="37" spans="1:16" ht="90" x14ac:dyDescent="0.25">
      <c r="A37" s="19" t="s">
        <v>309</v>
      </c>
      <c r="B37" s="14" t="s">
        <v>286</v>
      </c>
      <c r="C37" s="14" t="s">
        <v>277</v>
      </c>
      <c r="D37" s="14" t="s">
        <v>310</v>
      </c>
      <c r="E37" s="19" t="s">
        <v>311</v>
      </c>
      <c r="F37" s="14" t="s">
        <v>50</v>
      </c>
      <c r="G37" s="14" t="s">
        <v>312</v>
      </c>
      <c r="H37" s="14" t="s">
        <v>23</v>
      </c>
      <c r="I37" s="19" t="s">
        <v>313</v>
      </c>
      <c r="J37" s="14" t="s">
        <v>314</v>
      </c>
      <c r="K37" s="14">
        <v>4</v>
      </c>
      <c r="L37" s="14">
        <v>1</v>
      </c>
      <c r="M37" s="14">
        <f t="shared" si="0"/>
        <v>4</v>
      </c>
      <c r="N37" s="14" t="s">
        <v>315</v>
      </c>
      <c r="O37" s="14" t="s">
        <v>316</v>
      </c>
      <c r="P37" s="7" t="s">
        <v>648</v>
      </c>
    </row>
    <row r="38" spans="1:16" ht="90" x14ac:dyDescent="0.25">
      <c r="A38" s="20" t="s">
        <v>317</v>
      </c>
      <c r="B38" s="11" t="s">
        <v>318</v>
      </c>
      <c r="C38" s="11" t="s">
        <v>319</v>
      </c>
      <c r="D38" s="11" t="s">
        <v>320</v>
      </c>
      <c r="E38" s="20" t="s">
        <v>321</v>
      </c>
      <c r="F38" s="11" t="s">
        <v>21</v>
      </c>
      <c r="G38" s="11" t="s">
        <v>322</v>
      </c>
      <c r="H38" s="11" t="s">
        <v>23</v>
      </c>
      <c r="I38" s="20" t="s">
        <v>323</v>
      </c>
      <c r="J38" s="11" t="s">
        <v>324</v>
      </c>
      <c r="K38" s="11">
        <v>4</v>
      </c>
      <c r="L38" s="11">
        <v>2</v>
      </c>
      <c r="M38" s="11">
        <f t="shared" si="0"/>
        <v>8</v>
      </c>
      <c r="N38" s="11" t="s">
        <v>325</v>
      </c>
      <c r="O38" s="11" t="s">
        <v>326</v>
      </c>
      <c r="P38" s="8" t="s">
        <v>649</v>
      </c>
    </row>
    <row r="39" spans="1:16" ht="90" x14ac:dyDescent="0.25">
      <c r="A39" s="19" t="s">
        <v>327</v>
      </c>
      <c r="B39" s="14" t="s">
        <v>318</v>
      </c>
      <c r="C39" s="14" t="s">
        <v>328</v>
      </c>
      <c r="D39" s="14" t="s">
        <v>329</v>
      </c>
      <c r="E39" s="19" t="s">
        <v>330</v>
      </c>
      <c r="F39" s="14" t="s">
        <v>50</v>
      </c>
      <c r="G39" s="14" t="s">
        <v>331</v>
      </c>
      <c r="H39" s="14" t="s">
        <v>34</v>
      </c>
      <c r="I39" s="19" t="s">
        <v>332</v>
      </c>
      <c r="J39" s="14" t="s">
        <v>333</v>
      </c>
      <c r="K39" s="14">
        <v>3</v>
      </c>
      <c r="L39" s="14">
        <v>3</v>
      </c>
      <c r="M39" s="14">
        <f t="shared" si="0"/>
        <v>9</v>
      </c>
      <c r="N39" s="14" t="s">
        <v>334</v>
      </c>
      <c r="O39" s="14" t="s">
        <v>335</v>
      </c>
      <c r="P39" s="7" t="s">
        <v>650</v>
      </c>
    </row>
    <row r="40" spans="1:16" ht="105" x14ac:dyDescent="0.25">
      <c r="A40" s="21" t="s">
        <v>336</v>
      </c>
      <c r="B40" s="15" t="s">
        <v>318</v>
      </c>
      <c r="C40" s="15" t="s">
        <v>337</v>
      </c>
      <c r="D40" s="15" t="s">
        <v>338</v>
      </c>
      <c r="E40" s="21" t="s">
        <v>339</v>
      </c>
      <c r="F40" s="15" t="s">
        <v>340</v>
      </c>
      <c r="G40" s="15" t="s">
        <v>341</v>
      </c>
      <c r="H40" s="15" t="s">
        <v>52</v>
      </c>
      <c r="I40" s="21" t="s">
        <v>342</v>
      </c>
      <c r="J40" s="15" t="s">
        <v>343</v>
      </c>
      <c r="K40" s="15">
        <v>2</v>
      </c>
      <c r="L40" s="15">
        <v>4</v>
      </c>
      <c r="M40" s="15">
        <f t="shared" si="0"/>
        <v>8</v>
      </c>
      <c r="N40" s="15" t="s">
        <v>344</v>
      </c>
      <c r="O40" s="15" t="s">
        <v>345</v>
      </c>
      <c r="P40" s="9"/>
    </row>
    <row r="41" spans="1:16" ht="90" x14ac:dyDescent="0.25">
      <c r="A41" s="19" t="s">
        <v>346</v>
      </c>
      <c r="B41" s="14" t="s">
        <v>318</v>
      </c>
      <c r="C41" s="14" t="s">
        <v>347</v>
      </c>
      <c r="D41" s="14" t="s">
        <v>348</v>
      </c>
      <c r="E41" s="19" t="s">
        <v>349</v>
      </c>
      <c r="F41" s="14" t="s">
        <v>50</v>
      </c>
      <c r="G41" s="14" t="s">
        <v>350</v>
      </c>
      <c r="H41" s="14" t="s">
        <v>34</v>
      </c>
      <c r="I41" s="19" t="s">
        <v>351</v>
      </c>
      <c r="J41" s="14" t="s">
        <v>352</v>
      </c>
      <c r="K41" s="14">
        <v>3</v>
      </c>
      <c r="L41" s="14">
        <v>2</v>
      </c>
      <c r="M41" s="14">
        <f t="shared" si="0"/>
        <v>6</v>
      </c>
      <c r="N41" s="14" t="s">
        <v>353</v>
      </c>
      <c r="O41" s="14" t="s">
        <v>354</v>
      </c>
      <c r="P41" s="7" t="s">
        <v>651</v>
      </c>
    </row>
    <row r="42" spans="1:16" ht="60" x14ac:dyDescent="0.25">
      <c r="A42" s="19" t="s">
        <v>355</v>
      </c>
      <c r="B42" s="14" t="s">
        <v>318</v>
      </c>
      <c r="C42" s="14" t="s">
        <v>356</v>
      </c>
      <c r="D42" s="14" t="s">
        <v>357</v>
      </c>
      <c r="E42" s="19" t="s">
        <v>358</v>
      </c>
      <c r="F42" s="14" t="s">
        <v>50</v>
      </c>
      <c r="G42" s="14" t="s">
        <v>359</v>
      </c>
      <c r="H42" s="14" t="s">
        <v>23</v>
      </c>
      <c r="I42" s="19" t="s">
        <v>360</v>
      </c>
      <c r="J42" s="14" t="s">
        <v>361</v>
      </c>
      <c r="K42" s="14">
        <v>4</v>
      </c>
      <c r="L42" s="14">
        <v>2</v>
      </c>
      <c r="M42" s="14">
        <f t="shared" si="0"/>
        <v>8</v>
      </c>
      <c r="N42" s="14" t="s">
        <v>362</v>
      </c>
      <c r="O42" s="14" t="s">
        <v>363</v>
      </c>
      <c r="P42" s="7" t="s">
        <v>651</v>
      </c>
    </row>
    <row r="43" spans="1:16" ht="90" x14ac:dyDescent="0.25">
      <c r="A43" s="19" t="s">
        <v>364</v>
      </c>
      <c r="B43" s="14" t="s">
        <v>318</v>
      </c>
      <c r="C43" s="14" t="s">
        <v>365</v>
      </c>
      <c r="D43" s="14" t="s">
        <v>366</v>
      </c>
      <c r="E43" s="19" t="s">
        <v>371</v>
      </c>
      <c r="F43" s="14" t="s">
        <v>21</v>
      </c>
      <c r="G43" s="14" t="s">
        <v>367</v>
      </c>
      <c r="H43" s="14" t="s">
        <v>34</v>
      </c>
      <c r="I43" s="19" t="s">
        <v>368</v>
      </c>
      <c r="J43" s="14" t="s">
        <v>369</v>
      </c>
      <c r="K43" s="14">
        <v>3</v>
      </c>
      <c r="L43" s="14">
        <v>2</v>
      </c>
      <c r="M43" s="14">
        <f t="shared" si="0"/>
        <v>6</v>
      </c>
      <c r="N43" s="14" t="s">
        <v>370</v>
      </c>
      <c r="O43" s="17"/>
      <c r="P43" s="7" t="s">
        <v>651</v>
      </c>
    </row>
    <row r="44" spans="1:16" ht="75" x14ac:dyDescent="0.25">
      <c r="A44" s="19" t="s">
        <v>372</v>
      </c>
      <c r="B44" s="14" t="s">
        <v>373</v>
      </c>
      <c r="C44" s="14" t="s">
        <v>374</v>
      </c>
      <c r="D44" s="14" t="s">
        <v>375</v>
      </c>
      <c r="E44" s="19" t="s">
        <v>376</v>
      </c>
      <c r="F44" s="14" t="s">
        <v>377</v>
      </c>
      <c r="G44" s="14" t="s">
        <v>378</v>
      </c>
      <c r="H44" s="14" t="s">
        <v>52</v>
      </c>
      <c r="I44" s="19" t="s">
        <v>379</v>
      </c>
      <c r="J44" s="14" t="s">
        <v>380</v>
      </c>
      <c r="K44" s="14">
        <v>2</v>
      </c>
      <c r="L44" s="14">
        <v>4</v>
      </c>
      <c r="M44" s="14">
        <f t="shared" si="0"/>
        <v>8</v>
      </c>
      <c r="N44" s="14" t="s">
        <v>381</v>
      </c>
      <c r="O44" s="14" t="s">
        <v>382</v>
      </c>
      <c r="P44" s="7" t="s">
        <v>652</v>
      </c>
    </row>
    <row r="45" spans="1:16" ht="90" x14ac:dyDescent="0.25">
      <c r="A45" s="21" t="s">
        <v>383</v>
      </c>
      <c r="B45" s="15" t="s">
        <v>373</v>
      </c>
      <c r="C45" s="15" t="s">
        <v>374</v>
      </c>
      <c r="D45" s="15" t="s">
        <v>384</v>
      </c>
      <c r="E45" s="21" t="s">
        <v>385</v>
      </c>
      <c r="F45" s="15" t="s">
        <v>50</v>
      </c>
      <c r="G45" s="15" t="s">
        <v>386</v>
      </c>
      <c r="H45" s="15" t="s">
        <v>52</v>
      </c>
      <c r="I45" s="21" t="s">
        <v>387</v>
      </c>
      <c r="J45" s="15" t="s">
        <v>388</v>
      </c>
      <c r="K45" s="15">
        <v>2</v>
      </c>
      <c r="L45" s="15">
        <v>4</v>
      </c>
      <c r="M45" s="15">
        <f t="shared" si="0"/>
        <v>8</v>
      </c>
      <c r="N45" s="15" t="s">
        <v>389</v>
      </c>
      <c r="O45" s="15" t="s">
        <v>390</v>
      </c>
      <c r="P45" s="9" t="s">
        <v>653</v>
      </c>
    </row>
    <row r="46" spans="1:16" ht="75" x14ac:dyDescent="0.25">
      <c r="A46" s="21" t="s">
        <v>391</v>
      </c>
      <c r="B46" s="15" t="s">
        <v>373</v>
      </c>
      <c r="C46" s="15" t="s">
        <v>374</v>
      </c>
      <c r="D46" s="15" t="s">
        <v>392</v>
      </c>
      <c r="E46" s="21" t="s">
        <v>393</v>
      </c>
      <c r="F46" s="15" t="s">
        <v>50</v>
      </c>
      <c r="G46" s="15" t="s">
        <v>394</v>
      </c>
      <c r="H46" s="15" t="s">
        <v>52</v>
      </c>
      <c r="I46" s="21" t="s">
        <v>395</v>
      </c>
      <c r="J46" s="15" t="s">
        <v>396</v>
      </c>
      <c r="K46" s="15">
        <v>2</v>
      </c>
      <c r="L46" s="15">
        <v>4</v>
      </c>
      <c r="M46" s="15">
        <f t="shared" si="0"/>
        <v>8</v>
      </c>
      <c r="N46" s="15" t="s">
        <v>397</v>
      </c>
      <c r="O46" s="15" t="s">
        <v>398</v>
      </c>
      <c r="P46" s="9" t="s">
        <v>654</v>
      </c>
    </row>
    <row r="47" spans="1:16" ht="75" x14ac:dyDescent="0.25">
      <c r="A47" s="19" t="s">
        <v>399</v>
      </c>
      <c r="B47" s="14" t="s">
        <v>400</v>
      </c>
      <c r="C47" s="14" t="s">
        <v>401</v>
      </c>
      <c r="D47" s="14" t="s">
        <v>402</v>
      </c>
      <c r="E47" s="19" t="s">
        <v>403</v>
      </c>
      <c r="F47" s="14" t="s">
        <v>50</v>
      </c>
      <c r="G47" s="14" t="s">
        <v>404</v>
      </c>
      <c r="H47" s="14" t="s">
        <v>52</v>
      </c>
      <c r="I47" s="19" t="s">
        <v>405</v>
      </c>
      <c r="J47" s="14" t="s">
        <v>406</v>
      </c>
      <c r="K47" s="14">
        <v>2</v>
      </c>
      <c r="L47" s="14">
        <v>3</v>
      </c>
      <c r="M47" s="14">
        <f t="shared" si="0"/>
        <v>6</v>
      </c>
      <c r="N47" s="14" t="s">
        <v>407</v>
      </c>
      <c r="O47" s="14" t="s">
        <v>408</v>
      </c>
      <c r="P47" s="7" t="s">
        <v>655</v>
      </c>
    </row>
    <row r="48" spans="1:16" ht="75" x14ac:dyDescent="0.25">
      <c r="A48" s="19" t="s">
        <v>409</v>
      </c>
      <c r="B48" s="14" t="s">
        <v>400</v>
      </c>
      <c r="C48" s="14" t="s">
        <v>401</v>
      </c>
      <c r="D48" s="14" t="s">
        <v>410</v>
      </c>
      <c r="E48" s="19" t="s">
        <v>411</v>
      </c>
      <c r="F48" s="14" t="s">
        <v>50</v>
      </c>
      <c r="G48" s="14" t="s">
        <v>412</v>
      </c>
      <c r="H48" s="14" t="s">
        <v>52</v>
      </c>
      <c r="I48" s="19" t="s">
        <v>413</v>
      </c>
      <c r="J48" s="14" t="s">
        <v>414</v>
      </c>
      <c r="K48" s="14">
        <v>2</v>
      </c>
      <c r="L48" s="14">
        <v>3</v>
      </c>
      <c r="M48" s="14">
        <f t="shared" si="0"/>
        <v>6</v>
      </c>
      <c r="N48" s="14" t="s">
        <v>415</v>
      </c>
      <c r="O48" s="14" t="s">
        <v>408</v>
      </c>
      <c r="P48" s="7" t="s">
        <v>655</v>
      </c>
    </row>
    <row r="49" spans="1:16" ht="75" x14ac:dyDescent="0.25">
      <c r="A49" s="19" t="s">
        <v>416</v>
      </c>
      <c r="B49" s="14" t="s">
        <v>417</v>
      </c>
      <c r="C49" s="14" t="s">
        <v>418</v>
      </c>
      <c r="D49" s="14" t="s">
        <v>419</v>
      </c>
      <c r="E49" s="19" t="s">
        <v>420</v>
      </c>
      <c r="F49" s="14" t="s">
        <v>50</v>
      </c>
      <c r="G49" s="14" t="s">
        <v>421</v>
      </c>
      <c r="H49" s="14" t="s">
        <v>52</v>
      </c>
      <c r="I49" s="19" t="s">
        <v>422</v>
      </c>
      <c r="J49" s="14" t="s">
        <v>423</v>
      </c>
      <c r="K49" s="14">
        <v>2</v>
      </c>
      <c r="L49" s="14">
        <v>4</v>
      </c>
      <c r="M49" s="14">
        <f t="shared" si="0"/>
        <v>8</v>
      </c>
      <c r="N49" s="14" t="s">
        <v>424</v>
      </c>
      <c r="O49" s="14" t="s">
        <v>425</v>
      </c>
      <c r="P49" s="7"/>
    </row>
    <row r="50" spans="1:16" ht="90" x14ac:dyDescent="0.25">
      <c r="A50" s="21" t="s">
        <v>426</v>
      </c>
      <c r="B50" s="15" t="s">
        <v>427</v>
      </c>
      <c r="C50" s="15" t="s">
        <v>428</v>
      </c>
      <c r="D50" s="15" t="s">
        <v>429</v>
      </c>
      <c r="E50" s="21" t="s">
        <v>430</v>
      </c>
      <c r="F50" s="15" t="s">
        <v>50</v>
      </c>
      <c r="G50" s="15" t="s">
        <v>431</v>
      </c>
      <c r="H50" s="15" t="s">
        <v>34</v>
      </c>
      <c r="I50" s="21" t="s">
        <v>432</v>
      </c>
      <c r="J50" s="15" t="s">
        <v>433</v>
      </c>
      <c r="K50" s="15">
        <v>3</v>
      </c>
      <c r="L50" s="15">
        <v>3</v>
      </c>
      <c r="M50" s="15">
        <f t="shared" si="0"/>
        <v>9</v>
      </c>
      <c r="N50" s="15" t="s">
        <v>434</v>
      </c>
      <c r="O50" s="15" t="s">
        <v>435</v>
      </c>
      <c r="P50" s="9"/>
    </row>
    <row r="51" spans="1:16" ht="45" x14ac:dyDescent="0.25">
      <c r="A51" s="21" t="s">
        <v>436</v>
      </c>
      <c r="B51" s="15" t="s">
        <v>437</v>
      </c>
      <c r="C51" s="15" t="s">
        <v>438</v>
      </c>
      <c r="D51" s="15" t="s">
        <v>439</v>
      </c>
      <c r="E51" s="21" t="s">
        <v>440</v>
      </c>
      <c r="F51" s="15" t="s">
        <v>21</v>
      </c>
      <c r="G51" s="15" t="s">
        <v>441</v>
      </c>
      <c r="H51" s="15" t="s">
        <v>34</v>
      </c>
      <c r="I51" s="21" t="s">
        <v>442</v>
      </c>
      <c r="J51" s="15" t="s">
        <v>443</v>
      </c>
      <c r="K51" s="15">
        <v>3</v>
      </c>
      <c r="L51" s="15">
        <v>2</v>
      </c>
      <c r="M51" s="15">
        <f t="shared" si="0"/>
        <v>6</v>
      </c>
      <c r="N51" s="15" t="s">
        <v>444</v>
      </c>
      <c r="O51" s="15" t="s">
        <v>445</v>
      </c>
      <c r="P51" s="9"/>
    </row>
    <row r="52" spans="1:16" ht="75" x14ac:dyDescent="0.25">
      <c r="A52" s="21" t="s">
        <v>446</v>
      </c>
      <c r="B52" s="15" t="s">
        <v>447</v>
      </c>
      <c r="C52" s="15" t="s">
        <v>448</v>
      </c>
      <c r="D52" s="15" t="s">
        <v>449</v>
      </c>
      <c r="E52" s="21" t="s">
        <v>450</v>
      </c>
      <c r="F52" s="15" t="s">
        <v>50</v>
      </c>
      <c r="G52" s="15" t="s">
        <v>451</v>
      </c>
      <c r="H52" s="15" t="s">
        <v>52</v>
      </c>
      <c r="I52" s="21" t="s">
        <v>452</v>
      </c>
      <c r="J52" s="15" t="s">
        <v>453</v>
      </c>
      <c r="K52" s="15">
        <v>2</v>
      </c>
      <c r="L52" s="15">
        <v>4</v>
      </c>
      <c r="M52" s="15">
        <f t="shared" si="0"/>
        <v>8</v>
      </c>
      <c r="N52" s="15" t="s">
        <v>454</v>
      </c>
      <c r="O52" s="15" t="s">
        <v>455</v>
      </c>
      <c r="P52" s="9"/>
    </row>
    <row r="53" spans="1:16" ht="90" x14ac:dyDescent="0.25">
      <c r="A53" s="21" t="s">
        <v>456</v>
      </c>
      <c r="B53" s="15" t="s">
        <v>447</v>
      </c>
      <c r="C53" s="15" t="s">
        <v>457</v>
      </c>
      <c r="D53" s="15" t="s">
        <v>458</v>
      </c>
      <c r="E53" s="21" t="s">
        <v>459</v>
      </c>
      <c r="F53" s="15" t="s">
        <v>50</v>
      </c>
      <c r="G53" s="15" t="s">
        <v>460</v>
      </c>
      <c r="H53" s="15" t="s">
        <v>52</v>
      </c>
      <c r="I53" s="21" t="s">
        <v>461</v>
      </c>
      <c r="J53" s="15" t="s">
        <v>462</v>
      </c>
      <c r="K53" s="15">
        <v>2</v>
      </c>
      <c r="L53" s="15">
        <v>3</v>
      </c>
      <c r="M53" s="15">
        <f t="shared" si="0"/>
        <v>6</v>
      </c>
      <c r="N53" s="15" t="s">
        <v>463</v>
      </c>
      <c r="O53" s="15" t="s">
        <v>464</v>
      </c>
      <c r="P53" s="9"/>
    </row>
    <row r="54" spans="1:16" ht="90" x14ac:dyDescent="0.25">
      <c r="A54" s="21" t="s">
        <v>465</v>
      </c>
      <c r="B54" s="15" t="s">
        <v>466</v>
      </c>
      <c r="C54" s="15" t="s">
        <v>467</v>
      </c>
      <c r="D54" s="15" t="s">
        <v>468</v>
      </c>
      <c r="E54" s="21" t="s">
        <v>469</v>
      </c>
      <c r="F54" s="15" t="s">
        <v>50</v>
      </c>
      <c r="G54" s="15" t="s">
        <v>470</v>
      </c>
      <c r="H54" s="15" t="s">
        <v>34</v>
      </c>
      <c r="I54" s="21" t="s">
        <v>471</v>
      </c>
      <c r="J54" s="15" t="s">
        <v>472</v>
      </c>
      <c r="K54" s="15">
        <v>3</v>
      </c>
      <c r="L54" s="15">
        <v>4</v>
      </c>
      <c r="M54" s="15">
        <f t="shared" si="0"/>
        <v>12</v>
      </c>
      <c r="N54" s="15" t="s">
        <v>473</v>
      </c>
      <c r="O54" s="15" t="s">
        <v>474</v>
      </c>
      <c r="P54" s="9"/>
    </row>
    <row r="55" spans="1:16" ht="75" x14ac:dyDescent="0.25">
      <c r="A55" s="21" t="s">
        <v>475</v>
      </c>
      <c r="B55" s="15" t="s">
        <v>447</v>
      </c>
      <c r="C55" s="15" t="s">
        <v>476</v>
      </c>
      <c r="D55" s="15" t="s">
        <v>477</v>
      </c>
      <c r="E55" s="21" t="s">
        <v>478</v>
      </c>
      <c r="F55" s="15" t="s">
        <v>479</v>
      </c>
      <c r="G55" s="15" t="s">
        <v>480</v>
      </c>
      <c r="H55" s="15" t="s">
        <v>34</v>
      </c>
      <c r="I55" s="21" t="s">
        <v>481</v>
      </c>
      <c r="J55" s="15" t="s">
        <v>482</v>
      </c>
      <c r="K55" s="15">
        <v>3</v>
      </c>
      <c r="L55" s="15">
        <v>2</v>
      </c>
      <c r="M55" s="15">
        <f t="shared" si="0"/>
        <v>6</v>
      </c>
      <c r="N55" s="15" t="s">
        <v>483</v>
      </c>
      <c r="O55" s="15" t="s">
        <v>484</v>
      </c>
      <c r="P55" s="9"/>
    </row>
    <row r="56" spans="1:16" ht="75" x14ac:dyDescent="0.25">
      <c r="A56" s="21" t="s">
        <v>485</v>
      </c>
      <c r="B56" s="15" t="s">
        <v>486</v>
      </c>
      <c r="C56" s="15" t="s">
        <v>487</v>
      </c>
      <c r="D56" s="15" t="s">
        <v>488</v>
      </c>
      <c r="E56" s="21" t="s">
        <v>489</v>
      </c>
      <c r="F56" s="15" t="s">
        <v>50</v>
      </c>
      <c r="G56" s="15" t="s">
        <v>490</v>
      </c>
      <c r="H56" s="15" t="s">
        <v>34</v>
      </c>
      <c r="I56" s="21" t="s">
        <v>491</v>
      </c>
      <c r="J56" s="15" t="s">
        <v>492</v>
      </c>
      <c r="K56" s="15">
        <v>3</v>
      </c>
      <c r="L56" s="15">
        <v>3</v>
      </c>
      <c r="M56" s="15">
        <f t="shared" si="0"/>
        <v>9</v>
      </c>
      <c r="N56" s="15" t="s">
        <v>493</v>
      </c>
      <c r="O56" s="15" t="s">
        <v>494</v>
      </c>
      <c r="P56" s="9" t="s">
        <v>656</v>
      </c>
    </row>
    <row r="57" spans="1:16" ht="75" x14ac:dyDescent="0.25">
      <c r="A57" s="21" t="s">
        <v>495</v>
      </c>
      <c r="B57" s="15" t="s">
        <v>486</v>
      </c>
      <c r="C57" s="15" t="s">
        <v>487</v>
      </c>
      <c r="D57" s="15" t="s">
        <v>496</v>
      </c>
      <c r="E57" s="21" t="s">
        <v>497</v>
      </c>
      <c r="F57" s="15" t="s">
        <v>498</v>
      </c>
      <c r="G57" s="15" t="s">
        <v>499</v>
      </c>
      <c r="H57" s="15" t="s">
        <v>34</v>
      </c>
      <c r="I57" s="21" t="s">
        <v>500</v>
      </c>
      <c r="J57" s="15" t="s">
        <v>501</v>
      </c>
      <c r="K57" s="15">
        <v>3</v>
      </c>
      <c r="L57" s="15">
        <v>3</v>
      </c>
      <c r="M57" s="15">
        <f t="shared" si="0"/>
        <v>9</v>
      </c>
      <c r="N57" s="15" t="s">
        <v>502</v>
      </c>
      <c r="O57" s="15" t="s">
        <v>503</v>
      </c>
      <c r="P57" s="9" t="s">
        <v>656</v>
      </c>
    </row>
    <row r="58" spans="1:16" ht="90" x14ac:dyDescent="0.25">
      <c r="A58" s="21" t="s">
        <v>504</v>
      </c>
      <c r="B58" s="15" t="s">
        <v>505</v>
      </c>
      <c r="C58" s="15" t="s">
        <v>506</v>
      </c>
      <c r="D58" s="15" t="s">
        <v>507</v>
      </c>
      <c r="E58" s="21" t="s">
        <v>508</v>
      </c>
      <c r="F58" s="15" t="s">
        <v>50</v>
      </c>
      <c r="G58" s="15" t="s">
        <v>509</v>
      </c>
      <c r="H58" s="15" t="s">
        <v>52</v>
      </c>
      <c r="I58" s="21" t="s">
        <v>510</v>
      </c>
      <c r="J58" s="15" t="s">
        <v>511</v>
      </c>
      <c r="K58" s="15">
        <v>2</v>
      </c>
      <c r="L58" s="15">
        <v>4</v>
      </c>
      <c r="M58" s="15">
        <f t="shared" si="0"/>
        <v>8</v>
      </c>
      <c r="N58" s="15" t="s">
        <v>512</v>
      </c>
      <c r="O58" s="15" t="s">
        <v>513</v>
      </c>
      <c r="P58" s="9" t="s">
        <v>656</v>
      </c>
    </row>
    <row r="59" spans="1:16" ht="60" x14ac:dyDescent="0.25">
      <c r="A59" s="21" t="s">
        <v>514</v>
      </c>
      <c r="B59" s="15" t="s">
        <v>505</v>
      </c>
      <c r="C59" s="15" t="s">
        <v>506</v>
      </c>
      <c r="D59" s="15" t="s">
        <v>515</v>
      </c>
      <c r="E59" s="21" t="s">
        <v>516</v>
      </c>
      <c r="F59" s="15" t="s">
        <v>50</v>
      </c>
      <c r="G59" s="15" t="s">
        <v>517</v>
      </c>
      <c r="H59" s="15" t="s">
        <v>52</v>
      </c>
      <c r="I59" s="21" t="s">
        <v>518</v>
      </c>
      <c r="J59" s="15" t="s">
        <v>519</v>
      </c>
      <c r="K59" s="15">
        <v>2</v>
      </c>
      <c r="L59" s="15">
        <v>4</v>
      </c>
      <c r="M59" s="15">
        <f t="shared" si="0"/>
        <v>8</v>
      </c>
      <c r="N59" s="15" t="s">
        <v>520</v>
      </c>
      <c r="O59" s="15" t="s">
        <v>521</v>
      </c>
      <c r="P59" s="9" t="s">
        <v>656</v>
      </c>
    </row>
    <row r="60" spans="1:16" ht="90" x14ac:dyDescent="0.25">
      <c r="A60" s="19" t="s">
        <v>522</v>
      </c>
      <c r="B60" s="14" t="s">
        <v>523</v>
      </c>
      <c r="C60" s="14" t="s">
        <v>524</v>
      </c>
      <c r="D60" s="14" t="s">
        <v>525</v>
      </c>
      <c r="E60" s="19" t="s">
        <v>526</v>
      </c>
      <c r="F60" s="14" t="s">
        <v>50</v>
      </c>
      <c r="G60" s="14" t="s">
        <v>527</v>
      </c>
      <c r="H60" s="14" t="s">
        <v>34</v>
      </c>
      <c r="I60" s="19" t="s">
        <v>528</v>
      </c>
      <c r="J60" s="14" t="s">
        <v>529</v>
      </c>
      <c r="K60" s="14">
        <v>3</v>
      </c>
      <c r="L60" s="14">
        <v>2</v>
      </c>
      <c r="M60" s="14">
        <f t="shared" si="0"/>
        <v>6</v>
      </c>
      <c r="N60" s="14" t="s">
        <v>530</v>
      </c>
      <c r="O60" s="14" t="s">
        <v>531</v>
      </c>
      <c r="P60" s="7" t="s">
        <v>657</v>
      </c>
    </row>
    <row r="61" spans="1:16" ht="105" x14ac:dyDescent="0.25">
      <c r="A61" s="19" t="s">
        <v>532</v>
      </c>
      <c r="B61" s="14" t="s">
        <v>533</v>
      </c>
      <c r="C61" s="14" t="s">
        <v>534</v>
      </c>
      <c r="D61" s="14" t="s">
        <v>535</v>
      </c>
      <c r="E61" s="19" t="s">
        <v>536</v>
      </c>
      <c r="F61" s="14" t="s">
        <v>50</v>
      </c>
      <c r="G61" s="14" t="s">
        <v>537</v>
      </c>
      <c r="H61" s="14" t="s">
        <v>34</v>
      </c>
      <c r="I61" s="19" t="s">
        <v>538</v>
      </c>
      <c r="J61" s="14" t="s">
        <v>539</v>
      </c>
      <c r="K61" s="14">
        <v>3</v>
      </c>
      <c r="L61" s="14">
        <v>3</v>
      </c>
      <c r="M61" s="14">
        <f t="shared" si="0"/>
        <v>9</v>
      </c>
      <c r="N61" s="14" t="s">
        <v>540</v>
      </c>
      <c r="O61" s="14" t="s">
        <v>531</v>
      </c>
      <c r="P61" s="7" t="s">
        <v>658</v>
      </c>
    </row>
    <row r="62" spans="1:16" ht="90" x14ac:dyDescent="0.25">
      <c r="A62" s="19" t="s">
        <v>541</v>
      </c>
      <c r="B62" s="14" t="s">
        <v>533</v>
      </c>
      <c r="C62" s="14" t="s">
        <v>542</v>
      </c>
      <c r="D62" s="14" t="s">
        <v>543</v>
      </c>
      <c r="E62" s="19" t="s">
        <v>544</v>
      </c>
      <c r="F62" s="14" t="s">
        <v>50</v>
      </c>
      <c r="G62" s="14" t="s">
        <v>545</v>
      </c>
      <c r="H62" s="14" t="s">
        <v>34</v>
      </c>
      <c r="I62" s="19" t="s">
        <v>546</v>
      </c>
      <c r="J62" s="14" t="s">
        <v>547</v>
      </c>
      <c r="K62" s="14">
        <v>3</v>
      </c>
      <c r="L62" s="14">
        <v>3</v>
      </c>
      <c r="M62" s="14">
        <f t="shared" si="0"/>
        <v>9</v>
      </c>
      <c r="N62" s="14" t="s">
        <v>548</v>
      </c>
      <c r="O62" s="14" t="s">
        <v>549</v>
      </c>
      <c r="P62" s="7" t="s">
        <v>659</v>
      </c>
    </row>
    <row r="63" spans="1:16" ht="75" x14ac:dyDescent="0.25">
      <c r="A63" s="21" t="s">
        <v>550</v>
      </c>
      <c r="B63" s="15" t="s">
        <v>551</v>
      </c>
      <c r="C63" s="15" t="s">
        <v>552</v>
      </c>
      <c r="D63" s="15" t="s">
        <v>553</v>
      </c>
      <c r="E63" s="21" t="s">
        <v>554</v>
      </c>
      <c r="F63" s="15" t="s">
        <v>50</v>
      </c>
      <c r="G63" s="15" t="s">
        <v>555</v>
      </c>
      <c r="H63" s="15" t="s">
        <v>52</v>
      </c>
      <c r="I63" s="21" t="s">
        <v>556</v>
      </c>
      <c r="J63" s="15" t="s">
        <v>557</v>
      </c>
      <c r="K63" s="15">
        <v>2</v>
      </c>
      <c r="L63" s="15">
        <v>4</v>
      </c>
      <c r="M63" s="15">
        <f t="shared" si="0"/>
        <v>8</v>
      </c>
      <c r="N63" s="15" t="s">
        <v>558</v>
      </c>
      <c r="O63" s="15" t="s">
        <v>559</v>
      </c>
      <c r="P63" s="9"/>
    </row>
    <row r="64" spans="1:16" ht="90" x14ac:dyDescent="0.25">
      <c r="A64" s="21" t="s">
        <v>560</v>
      </c>
      <c r="B64" s="15" t="s">
        <v>551</v>
      </c>
      <c r="C64" s="15" t="s">
        <v>561</v>
      </c>
      <c r="D64" s="15" t="s">
        <v>562</v>
      </c>
      <c r="E64" s="21" t="s">
        <v>563</v>
      </c>
      <c r="F64" s="15" t="s">
        <v>21</v>
      </c>
      <c r="G64" s="15" t="s">
        <v>564</v>
      </c>
      <c r="H64" s="15" t="s">
        <v>34</v>
      </c>
      <c r="I64" s="21" t="s">
        <v>565</v>
      </c>
      <c r="J64" s="15" t="s">
        <v>566</v>
      </c>
      <c r="K64" s="15">
        <v>3</v>
      </c>
      <c r="L64" s="15">
        <v>3</v>
      </c>
      <c r="M64" s="15">
        <f t="shared" si="0"/>
        <v>9</v>
      </c>
      <c r="N64" s="15" t="s">
        <v>567</v>
      </c>
      <c r="O64" s="15" t="s">
        <v>568</v>
      </c>
      <c r="P64" s="9"/>
    </row>
    <row r="65" spans="1:16" ht="90" x14ac:dyDescent="0.25">
      <c r="A65" s="21" t="s">
        <v>569</v>
      </c>
      <c r="B65" s="15" t="s">
        <v>551</v>
      </c>
      <c r="C65" s="15" t="s">
        <v>570</v>
      </c>
      <c r="D65" s="15" t="s">
        <v>571</v>
      </c>
      <c r="E65" s="21" t="s">
        <v>572</v>
      </c>
      <c r="F65" s="15" t="s">
        <v>50</v>
      </c>
      <c r="G65" s="15" t="s">
        <v>573</v>
      </c>
      <c r="H65" s="15" t="s">
        <v>23</v>
      </c>
      <c r="I65" s="21" t="s">
        <v>574</v>
      </c>
      <c r="J65" s="15" t="s">
        <v>575</v>
      </c>
      <c r="K65" s="15">
        <v>4</v>
      </c>
      <c r="L65" s="15">
        <v>2</v>
      </c>
      <c r="M65" s="15">
        <f t="shared" si="0"/>
        <v>8</v>
      </c>
      <c r="N65" s="15" t="s">
        <v>576</v>
      </c>
      <c r="O65" s="15" t="s">
        <v>568</v>
      </c>
      <c r="P65" s="9"/>
    </row>
    <row r="66" spans="1:16" ht="90" x14ac:dyDescent="0.25">
      <c r="A66" s="21" t="s">
        <v>577</v>
      </c>
      <c r="B66" s="15" t="s">
        <v>551</v>
      </c>
      <c r="C66" s="15" t="s">
        <v>570</v>
      </c>
      <c r="D66" s="15" t="s">
        <v>578</v>
      </c>
      <c r="E66" s="21" t="s">
        <v>579</v>
      </c>
      <c r="F66" s="15" t="s">
        <v>50</v>
      </c>
      <c r="G66" s="15" t="s">
        <v>580</v>
      </c>
      <c r="H66" s="15" t="s">
        <v>52</v>
      </c>
      <c r="I66" s="21" t="s">
        <v>581</v>
      </c>
      <c r="J66" s="15" t="s">
        <v>582</v>
      </c>
      <c r="K66" s="15">
        <v>2</v>
      </c>
      <c r="L66" s="15">
        <v>4</v>
      </c>
      <c r="M66" s="15">
        <f t="shared" si="0"/>
        <v>8</v>
      </c>
      <c r="N66" s="15" t="s">
        <v>583</v>
      </c>
      <c r="O66" s="15" t="s">
        <v>584</v>
      </c>
      <c r="P66" s="9"/>
    </row>
    <row r="67" spans="1:16" ht="105" x14ac:dyDescent="0.25">
      <c r="A67" s="21" t="s">
        <v>585</v>
      </c>
      <c r="B67" s="15" t="s">
        <v>586</v>
      </c>
      <c r="C67" s="15" t="s">
        <v>587</v>
      </c>
      <c r="D67" s="15" t="s">
        <v>588</v>
      </c>
      <c r="E67" s="21" t="s">
        <v>589</v>
      </c>
      <c r="F67" s="15" t="s">
        <v>590</v>
      </c>
      <c r="G67" s="15" t="s">
        <v>591</v>
      </c>
      <c r="H67" s="15" t="s">
        <v>52</v>
      </c>
      <c r="I67" s="21" t="s">
        <v>592</v>
      </c>
      <c r="J67" s="15" t="s">
        <v>593</v>
      </c>
      <c r="K67" s="15">
        <v>2</v>
      </c>
      <c r="L67" s="15">
        <v>5</v>
      </c>
      <c r="M67" s="15">
        <f t="shared" si="0"/>
        <v>10</v>
      </c>
      <c r="N67" s="15" t="s">
        <v>594</v>
      </c>
      <c r="O67" s="15" t="s">
        <v>595</v>
      </c>
      <c r="P67" s="9"/>
    </row>
    <row r="68" spans="1:16" ht="75" x14ac:dyDescent="0.25">
      <c r="A68" s="21" t="s">
        <v>596</v>
      </c>
      <c r="B68" s="15" t="s">
        <v>597</v>
      </c>
      <c r="C68" s="15" t="s">
        <v>587</v>
      </c>
      <c r="D68" s="15" t="s">
        <v>598</v>
      </c>
      <c r="E68" s="21" t="s">
        <v>599</v>
      </c>
      <c r="F68" s="15" t="s">
        <v>21</v>
      </c>
      <c r="G68" s="15" t="s">
        <v>600</v>
      </c>
      <c r="H68" s="15" t="s">
        <v>52</v>
      </c>
      <c r="I68" s="21" t="s">
        <v>601</v>
      </c>
      <c r="J68" s="15" t="s">
        <v>602</v>
      </c>
      <c r="K68" s="15">
        <v>2</v>
      </c>
      <c r="L68" s="15">
        <v>4</v>
      </c>
      <c r="M68" s="15">
        <f t="shared" si="0"/>
        <v>8</v>
      </c>
      <c r="N68" s="15" t="s">
        <v>603</v>
      </c>
      <c r="O68" s="15" t="s">
        <v>604</v>
      </c>
      <c r="P68" s="9"/>
    </row>
    <row r="69" spans="1:16" ht="75.599999999999994" thickBot="1" x14ac:dyDescent="0.3">
      <c r="A69" s="23" t="s">
        <v>605</v>
      </c>
      <c r="B69" s="18" t="s">
        <v>606</v>
      </c>
      <c r="C69" s="18" t="s">
        <v>587</v>
      </c>
      <c r="D69" s="18" t="s">
        <v>607</v>
      </c>
      <c r="E69" s="23" t="s">
        <v>608</v>
      </c>
      <c r="F69" s="18" t="s">
        <v>50</v>
      </c>
      <c r="G69" s="18" t="s">
        <v>609</v>
      </c>
      <c r="H69" s="18" t="s">
        <v>52</v>
      </c>
      <c r="I69" s="23" t="s">
        <v>610</v>
      </c>
      <c r="J69" s="18" t="s">
        <v>611</v>
      </c>
      <c r="K69" s="18">
        <v>2</v>
      </c>
      <c r="L69" s="18">
        <v>5</v>
      </c>
      <c r="M69" s="18">
        <f t="shared" ref="M69" si="1">K69*L69</f>
        <v>10</v>
      </c>
      <c r="N69" s="18" t="s">
        <v>612</v>
      </c>
      <c r="O69" s="18" t="s">
        <v>613</v>
      </c>
      <c r="P69" s="12"/>
    </row>
  </sheetData>
  <mergeCells count="7">
    <mergeCell ref="U1:W1"/>
    <mergeCell ref="Y1:Z1"/>
    <mergeCell ref="U6:V6"/>
    <mergeCell ref="A2:D2"/>
    <mergeCell ref="E2:H2"/>
    <mergeCell ref="A1:P1"/>
    <mergeCell ref="I2:N2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Shanmukha Sree Mokkapati</cp:lastModifiedBy>
  <dcterms:created xsi:type="dcterms:W3CDTF">2026-02-10T03:33:55Z</dcterms:created>
  <dcterms:modified xsi:type="dcterms:W3CDTF">2026-02-10T20:09:42Z</dcterms:modified>
</cp:coreProperties>
</file>